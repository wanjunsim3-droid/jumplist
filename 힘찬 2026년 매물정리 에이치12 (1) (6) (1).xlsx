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dorado\Desktop\"/>
    </mc:Choice>
  </mc:AlternateContent>
  <xr:revisionPtr revIDLastSave="0" documentId="13_ncr:1_{DF0FA18C-18E7-4C3A-8381-E50B4BA1CD91}" xr6:coauthVersionLast="47" xr6:coauthVersionMax="47" xr10:uidLastSave="{00000000-0000-0000-0000-000000000000}"/>
  <bookViews>
    <workbookView xWindow="28680" yWindow="-120" windowWidth="20730" windowHeight="11040" activeTab="1" xr2:uid="{00000000-000D-0000-FFFF-FFFF00000000}"/>
  </bookViews>
  <sheets>
    <sheet name="11월27일" sheetId="1" r:id="rId1"/>
    <sheet name="26년" sheetId="3" r:id="rId2"/>
    <sheet name="Sheet1" sheetId="4" r:id="rId3"/>
    <sheet name="Sheet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44" i="3" l="1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43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282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51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33" i="3"/>
  <c r="B1223" i="3"/>
  <c r="B1224" i="3"/>
  <c r="B1225" i="3"/>
  <c r="B1226" i="3"/>
  <c r="B1227" i="3"/>
  <c r="B1228" i="3"/>
  <c r="B1229" i="3"/>
  <c r="B1230" i="3"/>
  <c r="B1222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78" i="3"/>
  <c r="B1179" i="3"/>
  <c r="B1180" i="3"/>
  <c r="B1181" i="3"/>
  <c r="B1182" i="3"/>
  <c r="B1183" i="3"/>
  <c r="B1184" i="3"/>
  <c r="B1177" i="3"/>
  <c r="B1174" i="3"/>
  <c r="B1167" i="3"/>
  <c r="B1168" i="3"/>
  <c r="B1169" i="3"/>
  <c r="B1170" i="3"/>
  <c r="B1171" i="3"/>
  <c r="B1172" i="3"/>
  <c r="B1173" i="3"/>
  <c r="B1166" i="3"/>
  <c r="B1163" i="3"/>
  <c r="B1156" i="3"/>
  <c r="B1157" i="3"/>
  <c r="B1158" i="3"/>
  <c r="B1159" i="3"/>
  <c r="B1160" i="3"/>
  <c r="B1161" i="3"/>
  <c r="B1162" i="3"/>
  <c r="B1155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40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17" i="3"/>
  <c r="B1114" i="3"/>
  <c r="B452" i="1" l="1"/>
  <c r="B175" i="1"/>
  <c r="B243" i="1"/>
  <c r="B892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087" i="3"/>
  <c r="B1079" i="3"/>
  <c r="B1080" i="3"/>
  <c r="B1081" i="3"/>
  <c r="B1082" i="3"/>
  <c r="B1083" i="3"/>
  <c r="B1084" i="3"/>
  <c r="B1078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21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984" i="3"/>
  <c r="B981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59" i="3"/>
  <c r="B948" i="3"/>
  <c r="B949" i="3"/>
  <c r="B950" i="3"/>
  <c r="B951" i="3"/>
  <c r="B952" i="3"/>
  <c r="B953" i="3"/>
  <c r="B954" i="3"/>
  <c r="B955" i="3"/>
  <c r="B956" i="3"/>
  <c r="B947" i="3"/>
  <c r="B944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18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895" i="3"/>
  <c r="B882" i="3"/>
  <c r="B883" i="3"/>
  <c r="B884" i="3"/>
  <c r="B885" i="3"/>
  <c r="B886" i="3"/>
  <c r="B887" i="3"/>
  <c r="B888" i="3"/>
  <c r="B889" i="3"/>
  <c r="B890" i="3"/>
  <c r="B891" i="3"/>
  <c r="B881" i="3"/>
  <c r="B871" i="3"/>
  <c r="B872" i="3"/>
  <c r="B873" i="3"/>
  <c r="B874" i="3"/>
  <c r="B875" i="3"/>
  <c r="B876" i="3"/>
  <c r="B877" i="3"/>
  <c r="B878" i="3"/>
  <c r="B870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55" i="3"/>
  <c r="B842" i="3"/>
  <c r="B843" i="3"/>
  <c r="B844" i="3"/>
  <c r="B845" i="3"/>
  <c r="B846" i="3"/>
  <c r="B847" i="3"/>
  <c r="B848" i="3"/>
  <c r="B849" i="3"/>
  <c r="B850" i="3"/>
  <c r="B851" i="3"/>
  <c r="B852" i="3"/>
  <c r="B841" i="3"/>
  <c r="B838" i="3"/>
  <c r="B828" i="3"/>
  <c r="B829" i="3"/>
  <c r="B830" i="3"/>
  <c r="B831" i="3"/>
  <c r="B832" i="3"/>
  <c r="B833" i="3"/>
  <c r="B834" i="3"/>
  <c r="B835" i="3"/>
  <c r="B836" i="3"/>
  <c r="B837" i="3"/>
  <c r="B827" i="3"/>
  <c r="B824" i="3"/>
  <c r="B816" i="3"/>
  <c r="B817" i="3"/>
  <c r="B818" i="3"/>
  <c r="B819" i="3"/>
  <c r="B820" i="3"/>
  <c r="B821" i="3"/>
  <c r="B822" i="3"/>
  <c r="B823" i="3"/>
  <c r="B815" i="3"/>
  <c r="B802" i="3" l="1"/>
  <c r="B803" i="3"/>
  <c r="B804" i="3"/>
  <c r="B805" i="3"/>
  <c r="B806" i="3"/>
  <c r="B807" i="3"/>
  <c r="B808" i="3"/>
  <c r="B809" i="3"/>
  <c r="B810" i="3"/>
  <c r="B811" i="3"/>
  <c r="B812" i="3"/>
  <c r="B801" i="3"/>
  <c r="B796" i="3"/>
  <c r="B791" i="3"/>
  <c r="B792" i="3"/>
  <c r="B793" i="3"/>
  <c r="B794" i="3"/>
  <c r="B795" i="3"/>
  <c r="B797" i="3"/>
  <c r="B798" i="3"/>
  <c r="B790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72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55" i="3"/>
  <c r="B754" i="3"/>
  <c r="B753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19" i="3"/>
  <c r="B718" i="3"/>
  <c r="B717" i="3"/>
  <c r="B194" i="3"/>
  <c r="B195" i="3"/>
  <c r="B196" i="3"/>
  <c r="B197" i="3"/>
  <c r="B198" i="3"/>
  <c r="B199" i="3"/>
  <c r="B200" i="3"/>
  <c r="B100" i="3"/>
  <c r="B103" i="3"/>
  <c r="B118" i="3" l="1"/>
  <c r="B119" i="3"/>
  <c r="B120" i="3"/>
  <c r="B121" i="3"/>
  <c r="B122" i="3"/>
  <c r="B123" i="3"/>
  <c r="B124" i="3"/>
  <c r="B125" i="3"/>
  <c r="B126" i="3"/>
  <c r="B115" i="3"/>
  <c r="B106" i="3"/>
  <c r="B107" i="3"/>
  <c r="B108" i="3"/>
  <c r="B109" i="3"/>
  <c r="B110" i="3"/>
  <c r="B111" i="3"/>
  <c r="B112" i="3"/>
  <c r="B113" i="3"/>
  <c r="B114" i="3"/>
  <c r="B101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2" i="3"/>
  <c r="B404" i="1"/>
  <c r="B414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5" i="1"/>
  <c r="B406" i="1"/>
  <c r="B407" i="1"/>
  <c r="B408" i="1"/>
  <c r="B409" i="1"/>
  <c r="B410" i="1"/>
  <c r="B411" i="1"/>
  <c r="B412" i="1"/>
  <c r="B413" i="1"/>
</calcChain>
</file>

<file path=xl/sharedStrings.xml><?xml version="1.0" encoding="utf-8"?>
<sst xmlns="http://schemas.openxmlformats.org/spreadsheetml/2006/main" count="9499" uniqueCount="4222">
  <si>
    <t>주소</t>
  </si>
  <si>
    <t>네이버지도 바로가기</t>
  </si>
  <si>
    <t>층수</t>
  </si>
  <si>
    <t>평수</t>
  </si>
  <si>
    <t>보증금(만원)</t>
  </si>
  <si>
    <t>임대료(만원)</t>
  </si>
  <si>
    <t>권리금(만원)</t>
  </si>
  <si>
    <t>관리비(만원)</t>
  </si>
  <si>
    <t>비고</t>
  </si>
  <si>
    <t>서울 강동구 길동 413-21</t>
  </si>
  <si>
    <t>서울 강동구 성내동 555-8</t>
  </si>
  <si>
    <t>서울 강동구 성내동 557-8</t>
  </si>
  <si>
    <t>서울 강동구 성내동 413-7</t>
  </si>
  <si>
    <t>서울 강동구 성내동 416-8</t>
  </si>
  <si>
    <t>서울 송파구 풍납동 477-4</t>
  </si>
  <si>
    <t>서울 성동구 왕십리로 410</t>
  </si>
  <si>
    <t>서울 강동구 성내동 456-3</t>
  </si>
  <si>
    <t>서울 강동구 길동 457-3</t>
  </si>
  <si>
    <t>서울 강동구 길동 96</t>
  </si>
  <si>
    <t>서울 강동구 길동 373-28</t>
  </si>
  <si>
    <t>서울 강동구 천호동 322-32</t>
  </si>
  <si>
    <t>서울 강동구 길동 325-4</t>
  </si>
  <si>
    <t>서울 강동구 천호동 548-1</t>
  </si>
  <si>
    <t>서울 강동구 천호동 51-7</t>
  </si>
  <si>
    <t>서울 강동구 천호동 301-35</t>
  </si>
  <si>
    <t>서울 강동구 성내동 320-8</t>
  </si>
  <si>
    <t>서울 서초구 방배동 985-2</t>
  </si>
  <si>
    <t>서울 강남구 개포동 1217-1</t>
  </si>
  <si>
    <t>서울 서초구 양재동 327-7</t>
  </si>
  <si>
    <t>서울 서초구 양재동 340-4</t>
  </si>
  <si>
    <t>서울 송파구 잠실동 183-7</t>
  </si>
  <si>
    <t>서울 동작구 사당동 267-37</t>
  </si>
  <si>
    <t>서울 관악구 봉천동 931-2</t>
  </si>
  <si>
    <t>서울 서초구 서초동 1594-3</t>
  </si>
  <si>
    <t>https://map.naver.com/p/search/서울 강동구 길동 413-21</t>
  </si>
  <si>
    <t>https://map.naver.com/p/search/서울 강동구 성내동 555-8</t>
  </si>
  <si>
    <t>https://map.naver.com/p/search/서울 강동구 성내동 557-8</t>
  </si>
  <si>
    <t>https://map.naver.com/p/search/서울 강동구 성내동 413-7</t>
  </si>
  <si>
    <t>https://map.naver.com/p/search/서울 강동구 성내동 416-8</t>
  </si>
  <si>
    <t>https://map.naver.com/p/search/서울 송파구 풍납동 477-4</t>
  </si>
  <si>
    <t>https://map.naver.com/p/search/서울 성동구 왕십리로 410 센트라스아파트</t>
  </si>
  <si>
    <t>https://map.naver.com/p/search/서울 강동구 성내동 456-3</t>
  </si>
  <si>
    <t>https://map.naver.com/p/search/서울 강동구 길동 457-3</t>
  </si>
  <si>
    <t>https://map.naver.com/p/search/서울 강동구 길동 96</t>
  </si>
  <si>
    <t>https://map.naver.com/p/search/서울 강동구 길동 373-28</t>
  </si>
  <si>
    <t>https://map.naver.com/p/search/서울 강동구 천호동 322-32</t>
  </si>
  <si>
    <t>https://map.naver.com/p/search/서울 강동구 길동 325-4</t>
  </si>
  <si>
    <t>https://map.naver.com/p/search/서울 강동구 천호동 548-1</t>
  </si>
  <si>
    <t>https://map.naver.com/p/search/서울 강동구 천호동 51-7</t>
  </si>
  <si>
    <t>https://map.naver.com/p/search/서울 강동구 천호동 301-35</t>
  </si>
  <si>
    <t>https://map.naver.com/p/search/서울 강동구 성내동 320-8</t>
  </si>
  <si>
    <t>https://map.naver.com/p/search/서울 서초구 방배동 985-2</t>
  </si>
  <si>
    <t>https://map.naver.com/p/search/서울 강남구 개포동 1217-1</t>
  </si>
  <si>
    <t>https://map.naver.com/p/search/서울 서초구 양재동 327-7</t>
  </si>
  <si>
    <t>https://map.naver.com/p/search/서울 서초구 양재동 340-4</t>
  </si>
  <si>
    <t>https://map.naver.com/p/search/서울 송파구 잠실동 183-7</t>
  </si>
  <si>
    <t>https://map.naver.com/p/search/서울 동작구 사당동 267-37</t>
  </si>
  <si>
    <t>https://map.naver.com/p/search/서울 관악구 봉천동 931-2</t>
  </si>
  <si>
    <t>https://map.naver.com/p/search/서울 서초구 서초동 1594-3</t>
  </si>
  <si>
    <t>1층</t>
  </si>
  <si>
    <t>2층</t>
  </si>
  <si>
    <t>공실, 인테리어 공사 한달 렌트프리 가능</t>
  </si>
  <si>
    <t>하시라도, 강동구청 인근, 지하철역 도보3분, 음식점밀집, 노출좋음</t>
  </si>
  <si>
    <t>엄마밥상, 강동구청역 먹자골목, 관공서·사무실 상권, 점심 저녁 유동인구 많음</t>
  </si>
  <si>
    <t>일품양평해장국</t>
  </si>
  <si>
    <t>임꺽정민물장어</t>
  </si>
  <si>
    <t>공실</t>
  </si>
  <si>
    <t>센트라스 아파트, 상왕십리, 올리브영·맘스터치 라인, 유동·상주 인구 매우 좋음, 대로변 가시성 매우 좋음</t>
  </si>
  <si>
    <t>센트라스 아파트, 상왕십리, 엄지네 옆, 유동·상주 인구 매우 좋음, 대로변 가시성 매우 좋음</t>
  </si>
  <si>
    <t>센트라스 아파트, 상왕십리, 올리브영 옆, 구 대동집, 유동·상주 인구 매우 좋음, 대로변 가시성 매우 좋음</t>
  </si>
  <si>
    <t>예루양꼬치, 주차 6대가능</t>
  </si>
  <si>
    <t>용산고깃집</t>
  </si>
  <si>
    <t>호반닭갈비</t>
  </si>
  <si>
    <t>선향목한식부페</t>
  </si>
  <si>
    <t>만냥삼겹</t>
  </si>
  <si>
    <t>뉴타운한식부페</t>
  </si>
  <si>
    <t>대박집 고기집</t>
  </si>
  <si>
    <t>한강유황오리</t>
  </si>
  <si>
    <t>전체</t>
  </si>
  <si>
    <t>함포해장, 방배역 도보2분, 자주식주차 3대 가능</t>
  </si>
  <si>
    <t>그집갈비탕갈비찜, 관리비 포함(부가세 별도), 10년 이상 운영, 권리금 저렴</t>
  </si>
  <si>
    <t>화덕닭갈비</t>
  </si>
  <si>
    <t>신축건물 1층</t>
  </si>
  <si>
    <t>배부장찌개, 남성역 도보1분, 유동인구 많고 전면 넓음, 내부 화장실</t>
  </si>
  <si>
    <t>우리한돈</t>
  </si>
  <si>
    <r>
      <t>https://map.naver.com/p/search/</t>
    </r>
    <r>
      <rPr>
        <u/>
        <sz val="11"/>
        <color theme="10"/>
        <rFont val="맑은 고딕"/>
        <family val="3"/>
        <charset val="129"/>
      </rPr>
      <t>서울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맑은 고딕"/>
        <family val="3"/>
        <charset val="129"/>
      </rPr>
      <t>강동구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맑은 고딕"/>
        <family val="3"/>
        <charset val="129"/>
      </rPr>
      <t>길동</t>
    </r>
    <r>
      <rPr>
        <u/>
        <sz val="11"/>
        <color theme="10"/>
        <rFont val="Calibri"/>
        <family val="2"/>
      </rPr>
      <t xml:space="preserve"> 413-21</t>
    </r>
    <phoneticPr fontId="3" type="noConversion"/>
  </si>
  <si>
    <t>네이버지도바로가기</t>
  </si>
  <si>
    <t>송파구 가락동 82-6</t>
  </si>
  <si>
    <t>https://map.naver.com/p/search/송파구%20가락동%2082-6</t>
  </si>
  <si>
    <t>88로타리집</t>
  </si>
  <si>
    <t>송파구 문정동 82-12</t>
  </si>
  <si>
    <t>https://map.naver.com/p/search/송파구%20문정동%2082-12</t>
  </si>
  <si>
    <t>와플대학</t>
  </si>
  <si>
    <t>송파구 문정동 73-1</t>
  </si>
  <si>
    <t>https://map.naver.com/p/search/송파구%20문정동%2073-1</t>
  </si>
  <si>
    <t>뚱이네보글이 / 권리금 조율 가능 / 층수 미기재</t>
  </si>
  <si>
    <t>은평구 갈현동 400-17</t>
  </si>
  <si>
    <t>https://map.naver.com/p/search/은평구%20갈현동%20400-17</t>
  </si>
  <si>
    <t>호랭이술상 / 권리금 1억→5,000 다운</t>
  </si>
  <si>
    <t>은평구 갈현동 403-12</t>
  </si>
  <si>
    <t>https://map.naver.com/p/search/은평구%20갈현동%20403-12</t>
  </si>
  <si>
    <t>스시남</t>
  </si>
  <si>
    <t>은평구 갈현동 402-6</t>
  </si>
  <si>
    <t>https://map.naver.com/p/search/은평구%20갈현동%20402-6</t>
  </si>
  <si>
    <t>한성횟집</t>
  </si>
  <si>
    <t>은평구 갈현동 402-1</t>
  </si>
  <si>
    <t>https://map.naver.com/p/search/은평구%20갈현동%20402-1</t>
  </si>
  <si>
    <t>술독 / 무권리</t>
  </si>
  <si>
    <t>은평구 갈현동 110-5</t>
  </si>
  <si>
    <t>https://map.naver.com/p/search/은평구%20갈현동%20110-5</t>
  </si>
  <si>
    <t>1~2층</t>
  </si>
  <si>
    <t>생활맥주 / 1층25평+2층25평 / 보증금 1억</t>
  </si>
  <si>
    <t>은평구 갈현동 483-4</t>
  </si>
  <si>
    <t>https://map.naver.com/p/search/은평구%20갈현동%20483-4</t>
  </si>
  <si>
    <t>지층+1층+2층</t>
  </si>
  <si>
    <t>경주식당 / 지층12+1층29+2층21 / 권리금 1억</t>
  </si>
  <si>
    <t>고양시 일산서구 탄현동 1562-6</t>
  </si>
  <si>
    <t>https://map.naver.com/p/search/고양시%20일산서구%20탄현동%201562-6</t>
  </si>
  <si>
    <t>삼백식당 / 권리금 1억</t>
  </si>
  <si>
    <t>고양시 일산서구 탄현동 1562-5</t>
  </si>
  <si>
    <t>https://map.naver.com/p/search/고양시%20일산서구%20탄현동%201562-5</t>
  </si>
  <si>
    <t>삼돈이</t>
  </si>
  <si>
    <t>서울특별시 은평구 응암동 84-13</t>
  </si>
  <si>
    <t>https://map.naver.com/p/search/서울특별시%20은평구%20응암동%2084-13</t>
  </si>
  <si>
    <t>드럼통 / 조정 협의 가능 / 응암동 대로변 가시성 매우 좋음 / 코너 대형 평수</t>
  </si>
  <si>
    <t>송파구 가락동 73-6</t>
  </si>
  <si>
    <t>https://map.naver.com/p/search/송파구%20가락동%2073-6</t>
  </si>
  <si>
    <t>봉자막창 / 권리금 1억</t>
  </si>
  <si>
    <t>송파구 삼전동 180-22</t>
  </si>
  <si>
    <t>https://map.naver.com/p/search/송파구%20삼전동%20180-22</t>
  </si>
  <si>
    <t>동천꼼장어</t>
  </si>
  <si>
    <t>송파구 방이동 206-7</t>
  </si>
  <si>
    <t>https://map.naver.com/p/search/송파구%20방이동%20206-7</t>
  </si>
  <si>
    <t>고향삼합 / 권리금 1억 / 관리비 없음</t>
  </si>
  <si>
    <t>송파구 문정동 49-14</t>
  </si>
  <si>
    <t>https://map.naver.com/p/search/송파구%20문정동%2049-14</t>
  </si>
  <si>
    <t>장칼국수</t>
  </si>
  <si>
    <t>송파구 문정동 40-3</t>
  </si>
  <si>
    <t>https://map.naver.com/p/search/송파구%20문정동%2040-3</t>
  </si>
  <si>
    <t>삼촌네포차</t>
  </si>
  <si>
    <t>서울특별시 은평구 응암동 577-30</t>
  </si>
  <si>
    <t>쪽갈비 전문점 / 조절 가능 / 응암5거리 대로변, 유동·상주인구 매우 좋음 / 테이블 13개</t>
  </si>
  <si>
    <t>은평구 응암동 601-71</t>
  </si>
  <si>
    <t>https://map.naver.com/p/search/은평구%20응암동%20601-71</t>
  </si>
  <si>
    <t>공실 / 무권리</t>
  </si>
  <si>
    <t>은평구 응암동 602-45</t>
  </si>
  <si>
    <t>https://map.naver.com/p/search/은평구%20응암동%20602-45</t>
  </si>
  <si>
    <t>공실 / 보증금 1억 / 무권리</t>
  </si>
  <si>
    <t>은평구 응암동 600-5</t>
  </si>
  <si>
    <t>https://map.naver.com/p/search/은평구%20응암동%20600-5</t>
  </si>
  <si>
    <t>무교동낙지</t>
  </si>
  <si>
    <t>은평구 응암동 592-1</t>
  </si>
  <si>
    <t>https://map.naver.com/p/search/은평구%20응암동%20592-1</t>
  </si>
  <si>
    <t>삼거리포차</t>
  </si>
  <si>
    <t>은평구 응암동 591-39</t>
  </si>
  <si>
    <t>https://map.naver.com/p/search/은평구%20응암동%20591-39</t>
  </si>
  <si>
    <t>바다슈퍼 / 권리금 1억</t>
  </si>
  <si>
    <t>은평구 응암동 591-3</t>
  </si>
  <si>
    <t>https://map.naver.com/p/search/은평구%20응암동%20591-3</t>
  </si>
  <si>
    <t>인생감성술집</t>
  </si>
  <si>
    <t>은평구 응암동 590-11</t>
  </si>
  <si>
    <t>https://map.naver.com/p/search/은평구%20응암동%20590-11</t>
  </si>
  <si>
    <t>명남아파트1층 공실 / 무권리</t>
  </si>
  <si>
    <t>은평구 응암동 601-32</t>
  </si>
  <si>
    <t>https://map.naver.com/p/search/은평구%20응암동%20601-32</t>
  </si>
  <si>
    <t>공실 (구 프로스펙스자리/깔세중) / 무권리</t>
  </si>
  <si>
    <t>서울특별시 은평구 갈현동 505-3</t>
  </si>
  <si>
    <t>https://map.naver.com/p/search/서울특별시%20은평구%20갈현동%20505-3</t>
  </si>
  <si>
    <t>상주인구 매우 좋은 상권 / 가시성·접근성 매우 좋음 / 관리비 없음</t>
  </si>
  <si>
    <t>서울특별시 은평구 불광동 13-19</t>
  </si>
  <si>
    <t>https://map.naver.com/p/search/서울특별시%20은평구%20불광동%2013-19</t>
  </si>
  <si>
    <t>데일리 브래드 / 현 커피 매장 / 건물주 음식점 고민 중</t>
  </si>
  <si>
    <t>11월27일</t>
    <phoneticPr fontId="3" type="noConversion"/>
  </si>
  <si>
    <t>https://map.naver.com/p/search/서울특별시%20은평구%20응암동%20577-30</t>
    <phoneticPr fontId="3" type="noConversion"/>
  </si>
  <si>
    <t>은평구 역촌동 22-62</t>
  </si>
  <si>
    <t>https://map.naver.com/p/search/은평구%20역촌동%2022-62</t>
  </si>
  <si>
    <t>이촌설렁탕</t>
  </si>
  <si>
    <t>서대문구 북가좌동 278-1</t>
  </si>
  <si>
    <t>https://map.naver.com/p/search/서대문구%20북가좌동%20278-1</t>
  </si>
  <si>
    <t>참치집 / 권리금 조정가능 / 청년주택 300세대 예정, 동사무소 입주 / 고기집·국밥집 등 추천</t>
  </si>
  <si>
    <t>은평구 응암동 577-45</t>
  </si>
  <si>
    <t>https://map.naver.com/p/search/은평구%20응암동%20577-45</t>
  </si>
  <si>
    <t>서대문구 북가좌동 300-14</t>
  </si>
  <si>
    <t>https://map.naver.com/p/search/서대문구%20북가좌동%20300-14</t>
  </si>
  <si>
    <t>(구 대성부동산) / 무권리</t>
  </si>
  <si>
    <t>서대문구 북가좌동 324-27</t>
  </si>
  <si>
    <t>https://map.naver.com/p/search/서대문구%20북가좌동%20324-27</t>
  </si>
  <si>
    <t>부산돼지국밥 / 무권리</t>
  </si>
  <si>
    <t>은평구 응암동 602-25</t>
  </si>
  <si>
    <t>https://map.naver.com/p/search/은평구%20응암동%20602-25</t>
  </si>
  <si>
    <t>명인갈비 / 권리금 조정가능 / 대림시장 초입 입지 우수 / 인테리어 매우 좋음, 1년 영업 후 양도</t>
  </si>
  <si>
    <t>서대문구 북가좌동 329-37</t>
  </si>
  <si>
    <t>https://map.naver.com/p/search/서대문구%20북가좌동%20329-37</t>
  </si>
  <si>
    <t>오마이치킨 / 층수 미기재</t>
  </si>
  <si>
    <t>은평구 응암동 578-21</t>
  </si>
  <si>
    <t>1층+2층</t>
  </si>
  <si>
    <t>현 서서울농협 입점 / 2층 보증금3,000·월세200 별도 / 1월 중순 퇴점 예정 / 무권리</t>
  </si>
  <si>
    <t>송파구 가락동 96</t>
  </si>
  <si>
    <t>https://map.naver.com/p/search/송파구%20가락동%2096</t>
  </si>
  <si>
    <t>전 빠리바게트 / 현 농수산물집, 2년 계약 만기(11월말) 후 퇴점 예정 / 무권리</t>
  </si>
  <si>
    <t>1층</t>
    <phoneticPr fontId="3" type="noConversion"/>
  </si>
  <si>
    <t>11월26일</t>
    <phoneticPr fontId="3" type="noConversion"/>
  </si>
  <si>
    <t>11월28</t>
    <phoneticPr fontId="3" type="noConversion"/>
  </si>
  <si>
    <t>(구 뚜레주르) / 무권리 / 음식점 입점 불가(민원) / 구) 뚜레즈르 ,음식점 건물주가 업종 보고 결정</t>
    <phoneticPr fontId="3" type="noConversion"/>
  </si>
  <si>
    <t>매매완료/황태해장국, 층별 남녀 공용 화장실 1개</t>
    <phoneticPr fontId="3" type="noConversion"/>
  </si>
  <si>
    <t>경기도 수원시 팔달구 인계동 1116-3</t>
  </si>
  <si>
    <t>https://map.naver.com/p/search/경기도 수원시 팔달구 인계동 1116-3</t>
  </si>
  <si>
    <t>상호: 공감 / 복층구조, 인테리어 매우 좋음 / 여사장님 남편 대구 발령으로 매매</t>
  </si>
  <si>
    <t>경기도 수원시 팔달구 인계동 955-1</t>
  </si>
  <si>
    <t>https://map.naver.com/p/search/경기도 수원시 팔달구 인계동 955-1</t>
  </si>
  <si>
    <t>-</t>
  </si>
  <si>
    <t>상호: 이디야커피 / 대로변 가시성 매우 좋음 / 병원·요양원 및 배후상권 좋음 / 전통적인 먹자 상권</t>
  </si>
  <si>
    <t>경기도 수원시 팔달구 인계동 1037-7</t>
  </si>
  <si>
    <t>https://map.naver.com/p/search/경기도 수원시 팔달구 인계동 1037-7</t>
  </si>
  <si>
    <t>상호: 백년불고기 물갈비 / 현 시설 되어 있음 / 2025.11.30 기준</t>
  </si>
  <si>
    <t>서울특별시 관악구 봉천동 1598-21</t>
  </si>
  <si>
    <t>https://map.naver.com/p/search/서울특별시 관악구 봉천동 1598-21</t>
  </si>
  <si>
    <t>상호: 삼천당 / 유동인구 매우 좋음 / 분식, 디저트 전문점, 가챠샵 추천</t>
  </si>
  <si>
    <t>서울 관악구 봉천동 874-1</t>
  </si>
  <si>
    <t>https://map.naver.com/p/search/서울 관악구 봉천동 874-1</t>
  </si>
  <si>
    <t>상호: 낙성대 정육식당 / 서울대입구역 도보 3분 / 횡단보도 앞 건물, 유동인구 많음</t>
  </si>
  <si>
    <t>일산서구 탄현동 1562-4</t>
  </si>
  <si>
    <t>https://map.naver.com/p/search/일산서구 탄현동 1562-4</t>
  </si>
  <si>
    <t>0(임대료에 포함)</t>
  </si>
  <si>
    <t>상호: 도쿄시장 / 탄현동 대로변, 평수 큰 매장 / 주변 고깃집 매출 좋음</t>
  </si>
  <si>
    <t>경기 의정부시 행복로 36</t>
  </si>
  <si>
    <t>https://map.naver.com/p/search/경기 의정부시 행복로 36</t>
  </si>
  <si>
    <t>상호: 제줏간 / 권리금 1억5천 → 1,000만원으로 인하</t>
  </si>
  <si>
    <t>엄지네 오른쪽</t>
  </si>
  <si>
    <t>엄지네 두번째 오른쪽</t>
  </si>
  <si>
    <t>평당 2</t>
  </si>
  <si>
    <t>서울특별시 성동구 하왕십리동 1070</t>
    <phoneticPr fontId="3" type="noConversion"/>
  </si>
  <si>
    <t>서울특별시 성동구 왕십리로 410 센트라스아파트</t>
  </si>
  <si>
    <t>인천광역시 부평구 청천동 190-3</t>
  </si>
  <si>
    <t>경기도 의정부시 민락동 842 1동</t>
  </si>
  <si>
    <t>공실, 하남돼지집자리, 권리금 없음</t>
  </si>
  <si>
    <t>상호: 읍천리382, 전용 약 30평, 권리금 없음</t>
  </si>
  <si>
    <t>구 대동집, 올리브영 옆 / 상왕십리 센트라스 아파트단지, 유동·상주인구 매우 좋음, 대로변 가시성 매우 좋음, 2칸 분할 가능 여부 확인중</t>
  </si>
  <si>
    <t>마녀김밥/아름부동산 중간라인 / 올리브영·맘스터치 라인, 유동·상주인구 매우 좋음</t>
  </si>
  <si>
    <t>엄지네 전면 두칸 / 올리브영·맘스터치 라인, 유동·상주인구 매우 좋음</t>
  </si>
  <si>
    <t>경기도 수원시 팔달구 팔달로2가 16-1</t>
  </si>
  <si>
    <t>1층 공실 (1번), 권리금 없음</t>
  </si>
  <si>
    <t>1층 공실 (2번), 권리금 없음</t>
  </si>
  <si>
    <t>경기도 수원시 팔달구 팔달로3가 97-1</t>
  </si>
  <si>
    <t>1층 공실, 팔달문 회전교차로 코너, 유동인구 많음, 음식점 가능</t>
  </si>
  <si>
    <t>경기도 의정부시 의정부동 171-18</t>
  </si>
  <si>
    <t>1층 공실, 부가세 별도, 권리금 없음</t>
  </si>
  <si>
    <t>경기도 성남시 분당구 야탑동 352-4</t>
  </si>
  <si>
    <t>상호: 국밥장인야탑점, 창고 약 3평 별도, 급매</t>
  </si>
  <si>
    <t>경기도 수원시 영통구 영통동 1038-4</t>
  </si>
  <si>
    <t>1층 공실, 권리금 없음</t>
  </si>
  <si>
    <t>경기도 화성시 산척동 728-2 우성에듀타운 112호</t>
  </si>
  <si>
    <t>상호: 향리원마라탕, 유동인구 많은 자리</t>
  </si>
  <si>
    <t>경기도 화성시 반월동 977-3 대흥프라자 105호</t>
  </si>
  <si>
    <t>상호: 한우집 (전 도시농원), 특이사항: 삼겹살 판매 불가</t>
  </si>
  <si>
    <t>경기도 수원시 영통구 매탄동 436-74</t>
  </si>
  <si>
    <t>상호: 라떼이즈홀스</t>
  </si>
  <si>
    <t>경기도 화성시 반월동 980-2</t>
  </si>
  <si>
    <t>상호: 펀비어킹, 타업종 권리금 3,000</t>
  </si>
  <si>
    <t>경기도 수원시 영통구 매탄동 372-6</t>
  </si>
  <si>
    <t>상호: 대보손칼국수, 건너편 삼성 연구실 공사 전 월세 250, 화장실 외부</t>
  </si>
  <si>
    <t>경기도 의정부시 의정부동 193-4</t>
  </si>
  <si>
    <t>상호: 연장전, 권리금 없음</t>
  </si>
  <si>
    <t>경기도 의정부시 의정부동 26-11</t>
  </si>
  <si>
    <t>상호: 김영희강남아구찜, 권리금 없음</t>
  </si>
  <si>
    <t>상호: 마장동고기집</t>
  </si>
  <si>
    <t>상호: 광화문숯불갈비, 본사 직영 매장, 권리금 협의 가능</t>
  </si>
  <si>
    <t>https://map.naver.com/p/search/서울특별시 성동구 하왕십리동 1070 읍천리382</t>
    <phoneticPr fontId="3" type="noConversion"/>
  </si>
  <si>
    <t>https://map.naver.com/p/search/서울특별시 성동구 왕십리로 410 센트라스아파트 (구 대동집, 올리브영 옆)</t>
    <phoneticPr fontId="3" type="noConversion"/>
  </si>
  <si>
    <t>https://map.naver.com/p/search/경기도 수원시 팔달구 팔달로2가 16-1 1층 공실 (1번)</t>
    <phoneticPr fontId="3" type="noConversion"/>
  </si>
  <si>
    <t>https://map.naver.com/p/search/서울특별시 성동구 왕십리로 410 센트라스아파트 (마녀김밥/아름부동산 중간라인)</t>
    <phoneticPr fontId="3" type="noConversion"/>
  </si>
  <si>
    <t>https://map.naver.com/p/search/서울특별시 성동구 왕십리로 410 센트라스아파트 (엄지네 오른쪽)</t>
    <phoneticPr fontId="3" type="noConversion"/>
  </si>
  <si>
    <t>https://map.naver.com/p/search/서울특별시 성동구 왕십리로 410 센트라스아파트 (엄지네 두번째 오른쪽)</t>
    <phoneticPr fontId="3" type="noConversion"/>
  </si>
  <si>
    <t>https://map.naver.com/p/search/인천광역시 부평구 청천동 190-3 광화문숯불갈비</t>
    <phoneticPr fontId="3" type="noConversion"/>
  </si>
  <si>
    <t>https://map.naver.com/p/search/경기도 의정부시 민락동 842 1동 마장동고기집</t>
    <phoneticPr fontId="3" type="noConversion"/>
  </si>
  <si>
    <t>https://map.naver.com/p/search/경기도 의정부시 의정부동 26-11 1층 김영희강남아구찜</t>
    <phoneticPr fontId="3" type="noConversion"/>
  </si>
  <si>
    <t>https://map.naver.com/p/search/경기도 의정부시 의정부동 193-4 1층 연장전</t>
    <phoneticPr fontId="3" type="noConversion"/>
  </si>
  <si>
    <t>https://map.naver.com/p/search/경기도 수원시 영통구 매탄동 372-6 1층 대보손칼국수</t>
    <phoneticPr fontId="3" type="noConversion"/>
  </si>
  <si>
    <t>https://map.naver.com/p/search/경기도 화성시 반월동 980-2 1층 펀비어킹</t>
    <phoneticPr fontId="3" type="noConversion"/>
  </si>
  <si>
    <t>https://map.naver.com/p/search/경기도 수원시 영통구 매탄동 436-74 1층 라떼이즈홀스</t>
    <phoneticPr fontId="3" type="noConversion"/>
  </si>
  <si>
    <t>https://map.naver.com/p/search/경기도 화성시 반월동 977-3 대흥프라자 1층 105호 한우집 (전 도시농원)</t>
    <phoneticPr fontId="3" type="noConversion"/>
  </si>
  <si>
    <t>https://map.naver.com/p/search/경기도 화성시 산척동 728-2 우성에듀타운 112호 향리원마라탕</t>
    <phoneticPr fontId="3" type="noConversion"/>
  </si>
  <si>
    <t>https://map.naver.com/p/search/경기도 수원시 영통구 영통동 1038-4 1층 공실</t>
    <phoneticPr fontId="3" type="noConversion"/>
  </si>
  <si>
    <t>https://map.naver.com/p/search/경기도 성남시 분당구 야탑동 352-4 1층 국밥장인야탑점</t>
    <phoneticPr fontId="3" type="noConversion"/>
  </si>
  <si>
    <t>https://map.naver.com/p/search/경기도 의정부시 의정부동 171-18 1층 공실</t>
    <phoneticPr fontId="3" type="noConversion"/>
  </si>
  <si>
    <t>https://map.naver.com/p/search/경기도 수원시 팔달구 팔달로3가 97-1 1층 공실</t>
    <phoneticPr fontId="3" type="noConversion"/>
  </si>
  <si>
    <t>https://map.naver.com/p/search/경기도 수원시 팔달구 팔달로2가 16-1 1층 공실 (2번)</t>
    <phoneticPr fontId="3" type="noConversion"/>
  </si>
  <si>
    <t>https://map.naver.com/p/search/서울특별시 성동구 왕십리로 410 센트라스아파트 (엄지네 전면 두칸)</t>
    <phoneticPr fontId="3" type="noConversion"/>
  </si>
  <si>
    <t>https://map.naver.com/p/search/은평구%20응암동%20578-21</t>
    <phoneticPr fontId="3" type="noConversion"/>
  </si>
  <si>
    <t>층/구성</t>
  </si>
  <si>
    <t>전용면적(평)</t>
  </si>
  <si>
    <t>은평구 갈현동 453-9</t>
  </si>
  <si>
    <t>https://map.kakao.com/?q=은평구%20갈현동%20453-9</t>
  </si>
  <si>
    <t>1~4층 (전층 공실)</t>
  </si>
  <si>
    <t>99.87 (1F 28.25 / 2F 17.33 / 3F 34.32 / 4F 19.96)</t>
  </si>
  <si>
    <t>연신내역 도보 4분, 주차 가능, 2009년식</t>
  </si>
  <si>
    <t>은평구 갈현동 401-2</t>
  </si>
  <si>
    <t>연신내역 도보 4분</t>
  </si>
  <si>
    <t>은평구 갈현동 453-10</t>
  </si>
  <si>
    <t>https://map.kakao.com/?q=은평구%20갈현동%20453-10</t>
  </si>
  <si>
    <t>1F 35.93 / 2F 31.38 (전용 25 표기)</t>
  </si>
  <si>
    <t>연신내역 도보 5분, 엘리베이터 없음</t>
  </si>
  <si>
    <t>은평구 갈현동 452-25</t>
  </si>
  <si>
    <t>https://map.kakao.com/?q=은평구%20갈현동%20452-25</t>
  </si>
  <si>
    <t>1~2층+지층</t>
  </si>
  <si>
    <t>1F 21 / 2F 21 / 지층 22</t>
  </si>
  <si>
    <t>연신내역 도보 4분, 1년 후 임대료 600 인상조건</t>
  </si>
  <si>
    <t>은평구 갈현동 453-8</t>
  </si>
  <si>
    <t>https://map.kakao.com/?q=은평구%20갈현동%20453-8</t>
  </si>
  <si>
    <t>연신내역 도보 3분</t>
  </si>
  <si>
    <t>은평구 갈현동 453-14</t>
  </si>
  <si>
    <t>https://map.kakao.com/?q=은평구%20갈현동%20453-14</t>
  </si>
  <si>
    <t>은평구 갈현동 453-24</t>
  </si>
  <si>
    <t>https://map.kakao.com/?q=은평구%20갈현동%20453-24</t>
  </si>
  <si>
    <t>1층(마르)</t>
  </si>
  <si>
    <t>은평구 갈현동 453-25</t>
  </si>
  <si>
    <t>https://map.kakao.com/?q=은평구%20갈현동%20453-25</t>
  </si>
  <si>
    <t>1~2층(호박주점)</t>
  </si>
  <si>
    <t>1F 27 / 2F 16</t>
  </si>
  <si>
    <t>송파구 마천동 128-50</t>
  </si>
  <si>
    <t>https://map.kakao.com/?q=송파구%20마천동%20128-50</t>
  </si>
  <si>
    <t>1층(해운대 연탄 생갈비)</t>
  </si>
  <si>
    <t>대형 아파트 단지 대로변 코너</t>
  </si>
  <si>
    <t>은평구 갈현동 455-14</t>
  </si>
  <si>
    <t>https://map.kakao.com/?q=은평구%20갈현동%20455-14</t>
  </si>
  <si>
    <t>1층(짝태노가리, 공실)</t>
  </si>
  <si>
    <t>연신내역 도보 2분</t>
  </si>
  <si>
    <t>은평구 갈현동 430-4</t>
  </si>
  <si>
    <t>https://map.kakao.com/?q=은평구%20갈현동%20430-4</t>
  </si>
  <si>
    <t>1층(라멘집)</t>
  </si>
  <si>
    <t>연신내역 도보 5분</t>
  </si>
  <si>
    <t>강남구 일원동 652-6</t>
  </si>
  <si>
    <t>https://map.kakao.com/?q=강남구%20일원동%20652-6</t>
  </si>
  <si>
    <t>지하1층+1층(헤비레이어스)</t>
  </si>
  <si>
    <t>총 45 (1F 20 포함)</t>
  </si>
  <si>
    <t>지하 홀+룸, 음식점 가능</t>
  </si>
  <si>
    <t>은평구 갈현동 453-11</t>
  </si>
  <si>
    <t>https://map.kakao.com/?q=은평구%20갈현동%20453-11</t>
  </si>
  <si>
    <t>1층(호랑이스시)</t>
  </si>
  <si>
    <t>은평구 갈현동 400-4</t>
  </si>
  <si>
    <t>https://map.kakao.com/?q=은평구%20갈현동%20400-4</t>
  </si>
  <si>
    <t>1층(귀한족발)</t>
  </si>
  <si>
    <t>은평구 갈현동 456-24</t>
  </si>
  <si>
    <t>https://map.kakao.com/?q=은평구%20갈현동%20456-24</t>
  </si>
  <si>
    <t>1층(고깃집)</t>
  </si>
  <si>
    <t>은평구 역촌동 16-2</t>
  </si>
  <si>
    <t>https://map.kakao.com/?q=은평구%20역촌동%2016-2</t>
  </si>
  <si>
    <t>40+창고 4</t>
  </si>
  <si>
    <t>역촌역 도보1분, 순대국 프랜차이즈 계약 진행중, 권리 1억2천까지 조정</t>
  </si>
  <si>
    <t>은평구 녹번동 155-13</t>
  </si>
  <si>
    <t>https://map.kakao.com/?q=은평구%20녹번동%20155-13</t>
  </si>
  <si>
    <t>1층(우리소곰탕)</t>
  </si>
  <si>
    <t>주차 가능, 외부 화장실, 은평세무서 인근 대로변</t>
  </si>
  <si>
    <t>https://map.kakao.com/?q=서울특별시%20은평구%20응암동%20577-30</t>
  </si>
  <si>
    <t>1층(쪽갈비 전문점)</t>
  </si>
  <si>
    <t>응암오거리 대로변, 테이블 13개, 급매 시 권리 1,500 가능</t>
  </si>
  <si>
    <t>서울 광진구 광장동 331-3</t>
  </si>
  <si>
    <t>1층(공실)</t>
  </si>
  <si>
    <t>대로변 코너, 음식점 선호, 주차 6대, 건물주 010-9452-2035</t>
  </si>
  <si>
    <t>서울 광진구 광장동 326-13</t>
  </si>
  <si>
    <t>주차 좋음, 대로변 가시성, 겹치는 업종 불가</t>
  </si>
  <si>
    <t>광진구 광장동 320-8</t>
  </si>
  <si>
    <t>현 시설 있음(임대인 철거 조건), 유명식당 다수, 고급 아파트 배후</t>
  </si>
  <si>
    <t>은평구 응암동 88-28</t>
  </si>
  <si>
    <t>1층(무공돈까스)</t>
  </si>
  <si>
    <t>이마트·병원·경찰서 인근, 유동인구 많음</t>
  </si>
  <si>
    <t>은평구 응암동 111-1</t>
  </si>
  <si>
    <t>1층(정가네)</t>
  </si>
  <si>
    <t>응암동 최고 자리</t>
  </si>
  <si>
    <t>은평구 응암동 110-9</t>
  </si>
  <si>
    <t>1층(훌랄라치킨)</t>
  </si>
  <si>
    <t>은평구 응암동 88-23</t>
  </si>
  <si>
    <t>1층(공실, 전 대하구이집)</t>
  </si>
  <si>
    <t>앞 경찰서, 한 달 전까지 영업</t>
  </si>
  <si>
    <t>은평구 신사동 3-19</t>
  </si>
  <si>
    <t>1~2층 통임대</t>
  </si>
  <si>
    <t>총 40 (1F 21 / 2F 19)</t>
  </si>
  <si>
    <t>응암역 초역세권, 야외 테라스, 서비스면·층별 화장실</t>
  </si>
  <si>
    <t>은평구 응암동 107-12</t>
  </si>
  <si>
    <t>1층(황금숯불구이)</t>
  </si>
  <si>
    <t>주차 가능, 외부 공동 화장실, 옆 24시간 중국집</t>
  </si>
  <si>
    <t>화성시 반월동 357-24</t>
  </si>
  <si>
    <t>1층(별난돼지)</t>
  </si>
  <si>
    <t>회사원 수요 많음, 권리금 1,500으로 조정</t>
  </si>
  <si>
    <t>은평구 역촌동 43-2</t>
  </si>
  <si>
    <t>1층(이디야)</t>
  </si>
  <si>
    <t>서대문구 남가좌동 269-1</t>
  </si>
  <si>
    <t>1층(압구정화로구이)</t>
  </si>
  <si>
    <t>서대문구 남가좌동 340-32</t>
  </si>
  <si>
    <t>서대문구 남가좌동 289-54번지 일대 DMC가재울아이파크</t>
  </si>
  <si>
    <t>상가(기준 1층)</t>
  </si>
  <si>
    <t>22평 호실 8,000/440, 12/1 입주, 렌트프리 없음</t>
  </si>
  <si>
    <t>서대문구 홍은동 400-12</t>
  </si>
  <si>
    <t>약 70</t>
  </si>
  <si>
    <t>카페·프랜차이즈 가능, 전체 사용 조건</t>
  </si>
  <si>
    <t>12월3일</t>
    <phoneticPr fontId="3" type="noConversion"/>
  </si>
  <si>
    <t>https://map.kakao.com/?q=은평구%20갈현동%20401-2</t>
    <phoneticPr fontId="3" type="noConversion"/>
  </si>
  <si>
    <t>일산동구 장항동 735-3</t>
  </si>
  <si>
    <t>1층 35평/2층 39.5평, 복층구조, 내부계단, 사거리 코너, 공영주차장 인접, 공실</t>
  </si>
  <si>
    <t>일산동구 장항동 735 (생마차)</t>
  </si>
  <si>
    <t>테라스 10평 별도, 전면 넓고 야장 있음</t>
  </si>
  <si>
    <t>일산동구 장항동 736-3</t>
  </si>
  <si>
    <t>일산동구 장항동 736-4</t>
  </si>
  <si>
    <t>서울 종로구 명륜1가 31-1</t>
  </si>
  <si>
    <t>젤로, 관리비 10만원, 주차 1대</t>
  </si>
  <si>
    <t>일산동구 장항동 736-3 (용용선생)</t>
  </si>
  <si>
    <t>처음 권리금 2억, 최근 3,000</t>
  </si>
  <si>
    <t>일산동구 장항동 736-3 (피자힙)</t>
  </si>
  <si>
    <t>일산동구 장항동 736-3 (공실)</t>
  </si>
  <si>
    <t>서울 중구 필동 2가 15-14</t>
  </si>
  <si>
    <t>사이렌서울 라운지바, 관리비 별도, 충무로역 1분거리, 유동인구 매우 좋음</t>
  </si>
  <si>
    <t>서울 종로구 충신동 48</t>
  </si>
  <si>
    <t>코너 건물, 방5평+창고3평+마당7평, 20년 이상 영업, 현 와인바 입점 예정, 앞 치킨집 장사 잘됨, 임대료 향후 인상 가능</t>
  </si>
  <si>
    <t>일산동구 장항동 855 양우이스턴시티 빌딩 (진진옥)</t>
  </si>
  <si>
    <t>무권리 또는 1,000 정도, 1월 만기</t>
  </si>
  <si>
    <t>일산동구 장항동 736-5 (금별맥주)</t>
  </si>
  <si>
    <t>일산동구 장항동 775-1</t>
  </si>
  <si>
    <t>전 임창정 세절이, 현재 철거 및 원상복구 상태, 공실</t>
  </si>
  <si>
    <t>종로구 숭인동 1078</t>
  </si>
  <si>
    <t>김앤장 금돈, 시설 완비, 신설동 역세권</t>
  </si>
  <si>
    <t>일산동구 장항동 757 로데오탑빌딩 (산동반점)</t>
  </si>
  <si>
    <t>서울특별시 종로구 숭인동 1057</t>
  </si>
  <si>
    <t>커피베이, 음식점 가능, 유동·상주인구 매우 좋음, 신설동 역세권</t>
  </si>
  <si>
    <t>일산동구 백석동 1262-4</t>
  </si>
  <si>
    <t>삼삼회관</t>
  </si>
  <si>
    <t>서울특별시 동대문구 휘경동 264-1</t>
  </si>
  <si>
    <t>배비장 숯불갈비, 부가세 별도, 가게 뒤 유료주차장, 국밥집 계약 진행 중, 대로변 가시성 매우 좋음</t>
  </si>
  <si>
    <t>일산동구 백석동 1278-2</t>
  </si>
  <si>
    <t>심대감삼계탕</t>
  </si>
  <si>
    <t>일산동구 백석동 1285-3</t>
  </si>
  <si>
    <t>대게가, 권리금 많이 조정 가능</t>
  </si>
  <si>
    <t>고양시 덕양구 삼송동 315</t>
  </si>
  <si>
    <t>유성</t>
  </si>
  <si>
    <t>고양시 덕양구 화정동 980-1</t>
  </si>
  <si>
    <t>고양시 덕양구 화정동 984</t>
  </si>
  <si>
    <t>고양시 덕양구 화정동 983-1 (최현숙족발보쌈)</t>
  </si>
  <si>
    <t>1층·2층 내부계단 있는 건물, 기존 월세 434만원 → 250만원 협의</t>
  </si>
  <si>
    <t>고양시 덕양구 화정동 986-9 (옥소반)</t>
  </si>
  <si>
    <t>인천시 남동구 구월동 1173-18</t>
  </si>
  <si>
    <t>창고 3평 별도 포함 안 됨</t>
  </si>
  <si>
    <t>고양시 덕양구 화정동 984-9 (유사부)</t>
  </si>
  <si>
    <t>고양시 덕양구 화정동 1002-1 (자연드림)</t>
  </si>
  <si>
    <t>3칸(앞 15평+안쪽 32평), 두 칸 사용 시 약 31평, 상가주인 다름, 앞 상가주인 철거비 3,000 요구, 철거 직접 시 권리금 조정 가능</t>
  </si>
  <si>
    <t>은평구 불광동 484-12</t>
  </si>
  <si>
    <t>덕양구 화정동 980-2 제이케이프라자 (짚신매운갈비찜)</t>
  </si>
  <si>
    <t>남동구 만수동 1120-2</t>
  </si>
  <si>
    <t>술술</t>
  </si>
  <si>
    <t>미추홀구 주안동 29-4</t>
  </si>
  <si>
    <t>장모족발</t>
  </si>
  <si>
    <t>미추홀구 주안동 1584-6</t>
  </si>
  <si>
    <t>1층 전체</t>
  </si>
  <si>
    <t>남동구 구월동 1163-4</t>
  </si>
  <si>
    <t>3호·4호 공실, 삼거리 코너, 공사기간 제공, 주거 및 상업시설 밀집</t>
  </si>
  <si>
    <t>광진구 중곡동 132-11</t>
  </si>
  <si>
    <t>더빈마켓, 권리금 조정 가능</t>
  </si>
  <si>
    <t>관리비</t>
    <phoneticPr fontId="3" type="noConversion"/>
  </si>
  <si>
    <t>동작구 흑석동 195-19</t>
  </si>
  <si>
    <t>카페 프랜차이즈</t>
  </si>
  <si>
    <t>동작구 흑석동 207-19</t>
  </si>
  <si>
    <t>1층(제3공간)</t>
  </si>
  <si>
    <t>건물주 운영 커피숍, 권리 없음</t>
  </si>
  <si>
    <t>동작구 흑석동 189-7</t>
  </si>
  <si>
    <t>https://map.kakao.com/?q=동작구%20흑석동%20189-7</t>
  </si>
  <si>
    <t>1층(까페리홀릭)</t>
  </si>
  <si>
    <t>카페</t>
  </si>
  <si>
    <t>동작구 흑석동 8-32</t>
  </si>
  <si>
    <t>https://map.kakao.com/?q=동작구%20흑석동%208-32</t>
  </si>
  <si>
    <t>1층(33떡볶이)</t>
  </si>
  <si>
    <t>떡볶이 전문점</t>
  </si>
  <si>
    <t>서울특별시 중구 주교동 143-2</t>
  </si>
  <si>
    <t>https://map.kakao.com/?q=서울특별시%20중구%20주교동%20143-2</t>
  </si>
  <si>
    <t>1층(종점)</t>
  </si>
  <si>
    <t>역세권 대로변, 유동·상주인구 매우 좋음</t>
  </si>
  <si>
    <t>동작구 흑석동 335-1</t>
  </si>
  <si>
    <t>https://map.kakao.com/?q=동작구%20흑석동%20335-1</t>
  </si>
  <si>
    <t>1층(약국)</t>
  </si>
  <si>
    <t>약국 자리</t>
  </si>
  <si>
    <t>화성시 반송동 104-8</t>
  </si>
  <si>
    <t>https://map.kakao.com/?q=화성시%20반송동%20104-8</t>
  </si>
  <si>
    <t>1층(최고닭볶음탕)</t>
  </si>
  <si>
    <t>남광장 메인 상권, 분수대 앞, 권리 없는 귀한 매물</t>
  </si>
  <si>
    <t>서울특별시 동대문구 사가정로27길 24</t>
  </si>
  <si>
    <t>https://map.kakao.com/?q=서울특별시%20동대문구%20사가정로27길%2024</t>
  </si>
  <si>
    <t>인구밀도 매우 높음, 중·고등학교 밀집</t>
  </si>
  <si>
    <t>동작구 흑석동 102-1</t>
  </si>
  <si>
    <t>https://map.kakao.com/?q=동작구%20흑석동%20102-1</t>
  </si>
  <si>
    <t>2층(모그)</t>
  </si>
  <si>
    <t>카페·레스토랑 가능</t>
  </si>
  <si>
    <t>남동구 구월동 1142-21</t>
  </si>
  <si>
    <t>https://map.kakao.com/?q=남동구%20구월동%201142-21</t>
  </si>
  <si>
    <t>1층(파스꾸찌)</t>
  </si>
  <si>
    <t>인천시청 근처, 보험회사 밀집, 오피스 상권</t>
  </si>
  <si>
    <t>미추홀구 주안동 24-68 104호</t>
  </si>
  <si>
    <t>https://map.kakao.com/?q=미추홀구%20주안동%2024-68%20104호</t>
  </si>
  <si>
    <t>104호(코너)</t>
  </si>
  <si>
    <t>코너 자리</t>
  </si>
  <si>
    <t>남동구 구월동 1205-1</t>
  </si>
  <si>
    <t>https://map.kakao.com/?q=남동구%20구월동%201205-1</t>
  </si>
  <si>
    <t>약50~53</t>
  </si>
  <si>
    <t>가스 LPG</t>
  </si>
  <si>
    <t>남동구 간석동 915-4</t>
  </si>
  <si>
    <t>1층(엘지핸드폰자리)</t>
  </si>
  <si>
    <t>약52</t>
  </si>
  <si>
    <t>가스 LPG, 핸드폰 매장 자리</t>
  </si>
  <si>
    <t>경기 안산시 단원구 고잔동 541-1</t>
  </si>
  <si>
    <t>https://map.kakao.com/?q=경기%20안산시%20단원구%20고잔동%20541-1</t>
  </si>
  <si>
    <t>안산 중앙동 로데오 상권</t>
  </si>
  <si>
    <t>고양시 일산동구 정발산동 785</t>
  </si>
  <si>
    <t>https://map.kakao.com/?q=고양시%20일산동구%20정발산동%20785</t>
  </si>
  <si>
    <t>1층(중식당)</t>
  </si>
  <si>
    <t>중식당 자리</t>
  </si>
  <si>
    <t>고양시 덕양구 화정동 965</t>
  </si>
  <si>
    <t>https://map.kakao.com/?q=고양시%20덕양구%20화정동%20965</t>
  </si>
  <si>
    <t>1층(족발집)</t>
  </si>
  <si>
    <t>족발집</t>
  </si>
  <si>
    <t>고양시 덕양구 화정동 967-1</t>
  </si>
  <si>
    <t>https://map.kakao.com/?q=고양시%20덕양구%20화정동%20967-1</t>
  </si>
  <si>
    <t>1층(양평해장국)</t>
  </si>
  <si>
    <t>해장국 전문점</t>
  </si>
  <si>
    <t>성동구 성수동1가 656-1076</t>
  </si>
  <si>
    <t>https://map.kakao.com/?q=성동구%20성수동1가%20656-1076</t>
  </si>
  <si>
    <t>1층(성수반점)</t>
  </si>
  <si>
    <t>중식당, 성수 메인 상권</t>
  </si>
  <si>
    <t>서울 송파구 가락동 123</t>
  </si>
  <si>
    <t>https://map.kakao.com/?q=서울%20송파구%20가락동%20123</t>
  </si>
  <si>
    <t>고기집 가능, 주차 좋음, 조건 조율 가능</t>
  </si>
  <si>
    <t>성동구 성수동1가 13-419</t>
  </si>
  <si>
    <t>https://map.kakao.com/?q=성동구%20성수동1가%2013-419</t>
  </si>
  <si>
    <t>1층(킹콩부대찌개)</t>
  </si>
  <si>
    <t>무권리 협의 가능 느낌</t>
  </si>
  <si>
    <t>성동구 성수동1가 656-1659</t>
  </si>
  <si>
    <t>https://map.kakao.com/?q=성동구%20성수동1가%20656-1659</t>
  </si>
  <si>
    <t>1층(라플랑)</t>
  </si>
  <si>
    <t>성동구 왕십리로 83-21</t>
  </si>
  <si>
    <t>https://map.kakao.com/?q=성동구%20왕십리로%2083-21</t>
  </si>
  <si>
    <t>1층(순대국)</t>
  </si>
  <si>
    <t>순대국, 메인 상권</t>
  </si>
  <si>
    <t>경기도 시흥시 배곧동 76</t>
  </si>
  <si>
    <t>https://map.kakao.com/?q=경기도%20시흥시%20배곧동%2076</t>
  </si>
  <si>
    <t>1층(갈비 본가 진, 테라스20)</t>
  </si>
  <si>
    <t>64(테라스20)</t>
  </si>
  <si>
    <t>7년 운영, 시설완비, 주차 가능, 배후 상권 좋음</t>
  </si>
  <si>
    <t>경기도 시흥시 목감동 407</t>
  </si>
  <si>
    <t>https://map.kakao.com/?q=경기도%20시흥시%20목감동%20407</t>
  </si>
  <si>
    <t>2층(코너, 냉면·돈까스)</t>
  </si>
  <si>
    <t>신안산선 개통 예정, 항아리 상권 메인, 코너 가시성 좋음</t>
  </si>
  <si>
    <t>경기도 시흥시 대야동 655-1</t>
  </si>
  <si>
    <t>https://map.kakao.com/?q=경기도%20시흥시%20대야동%20655-1</t>
  </si>
  <si>
    <t>1층(족발 야시장)</t>
  </si>
  <si>
    <t>https://map.kakao.com/?q=경기도%20시흥시%20대야동%20655-2</t>
  </si>
  <si>
    <t>1층(정 닭도리탕)</t>
  </si>
  <si>
    <t>시설 매우 좋음</t>
  </si>
  <si>
    <t>경기도 시흥시 중심상가2길 12-8</t>
  </si>
  <si>
    <t>https://map.kakao.com/?q=경기도%20시흥시%20중심상가2길%2012-8</t>
  </si>
  <si>
    <t>1층(더진국)</t>
  </si>
  <si>
    <t>정왕동 먹자 메인 상권, 상주·유동인구 매우 좋음</t>
  </si>
  <si>
    <t>성동구 성수동1가 656-970</t>
  </si>
  <si>
    <t>https://map.kakao.com/?q=성동구%20성수동1가%20656-970</t>
  </si>
  <si>
    <t>1~2층 연층사용</t>
  </si>
  <si>
    <t>70 (1층35/2층35)</t>
  </si>
  <si>
    <t>연층 사용, 대형 매장</t>
  </si>
  <si>
    <t>용산구 이태원동 132-16</t>
  </si>
  <si>
    <t>https://map.kakao.com/?q=용산구%20이태원동%20132-16</t>
  </si>
  <si>
    <t>1층 공실</t>
  </si>
  <si>
    <t>용산구 이태원동 74-7</t>
  </si>
  <si>
    <t>https://map.kakao.com/?q=용산구%20이태원동%2074-7</t>
  </si>
  <si>
    <t>1~2층(솔라리)</t>
  </si>
  <si>
    <t>솔라리 1~2층</t>
  </si>
  <si>
    <t>송파구 석촌동 210-6</t>
  </si>
  <si>
    <t>https://map.kakao.com/?q=송파구%20석촌동%20210-6</t>
  </si>
  <si>
    <t>역세권 대로변 가시성 매우 좋음, 커피·베이커리만 가능, 권리(청장 에어컨) 100만 원</t>
  </si>
  <si>
    <t>용산구 이태원동 128-3</t>
  </si>
  <si>
    <t>https://map.kakao.com/?q=용산구%20이태원동%20128-3</t>
  </si>
  <si>
    <t>이디야</t>
  </si>
  <si>
    <t>이디야, 카페 프랜차이즈, 권리 없음</t>
  </si>
  <si>
    <t>송파구 송파동 89</t>
  </si>
  <si>
    <t>https://map.kakao.com/?q=송파구%20송파동%2089</t>
  </si>
  <si>
    <t>1층 코너2면 공실</t>
  </si>
  <si>
    <t>역세권 대로변 가시성 좋음, 주차 2대 가능, 현 공실</t>
  </si>
  <si>
    <t>용산구 이태원동 119-18</t>
  </si>
  <si>
    <t>https://map.kakao.com/?q=용산구%20이태원동%20119-18</t>
  </si>
  <si>
    <t>판매점 자리, 수도·가스 없음, 수도 연결 필요, 전기사용</t>
  </si>
  <si>
    <t>용산구 이태원동 123-33</t>
  </si>
  <si>
    <t>https://map.kakao.com/?q=용산구%20이태원동%20123-33</t>
  </si>
  <si>
    <t>2층 공실</t>
  </si>
  <si>
    <t>서울 강동구 상일동 207-1</t>
  </si>
  <si>
    <t>https://map.kakao.com/?q=서울%20강동구%20상일동%20207-1</t>
  </si>
  <si>
    <t>대로변, 학원건물, 대단위 아파트 상권, 현 공실</t>
  </si>
  <si>
    <t>대로변, 학원건물, 대단위 아파트 상권</t>
  </si>
  <si>
    <t>용산구 이태원동 123-32</t>
  </si>
  <si>
    <t>https://map.kakao.com/?q=용산구%20이태원동%20123-32</t>
  </si>
  <si>
    <t>성동구 하왕십리동 959-2</t>
  </si>
  <si>
    <t>https://map.kakao.com/?q=성동구%20하왕십리동%20959-2</t>
  </si>
  <si>
    <t>성동구 도선동 302</t>
  </si>
  <si>
    <t>https://map.kakao.com/?q=성동구%20도선동%20302</t>
  </si>
  <si>
    <t>성동구 하왕십리동 966-91</t>
  </si>
  <si>
    <t>https://map.kakao.com/?q=성동구%20하왕십리동%20966-91</t>
  </si>
  <si>
    <t>성동구 행당동 168-78</t>
  </si>
  <si>
    <t>https://map.kakao.com/?q=성동구%20행당동%20168-78</t>
  </si>
  <si>
    <t>왕십리역 6번 출구 바로 앞, 위반건축물</t>
  </si>
  <si>
    <t>성동구 행당동 3-14</t>
  </si>
  <si>
    <t>https://map.kakao.com/?q=성동구%20행당동%203-14</t>
  </si>
  <si>
    <t>2층(내가찜한닭)</t>
  </si>
  <si>
    <t>유동인구 많고 코너 2층, 자리 좋음</t>
  </si>
  <si>
    <t>성동구 용답동 14-4</t>
  </si>
  <si>
    <t>https://map.kakao.com/?q=성동구%20용답동%2014-4</t>
  </si>
  <si>
    <t>22+서비스4</t>
  </si>
  <si>
    <t>바로 앞 성동자이 1670세대, 메인거리 초입</t>
  </si>
  <si>
    <t>성동구 행당동 19-85</t>
  </si>
  <si>
    <t>https://map.kakao.com/?q=성동구%20행당동%2019-85</t>
  </si>
  <si>
    <t>서대문구 충정로2가 83</t>
  </si>
  <si>
    <t>https://map.kakao.com/?q=서대문구%20충정로2가%2083</t>
  </si>
  <si>
    <t>마포구 용강동 43-7</t>
  </si>
  <si>
    <t>https://map.kakao.com/?q=마포구%20용강동%2043-7</t>
  </si>
  <si>
    <t>1층 18평 + 2층 18평</t>
  </si>
  <si>
    <t>서대문구 충정로2가 113-1</t>
  </si>
  <si>
    <t>https://map.kakao.com/?q=서대문구%20충정로2가%20113-1</t>
  </si>
  <si>
    <t>강북구 수유동 192-61</t>
  </si>
  <si>
    <t>https://map.kakao.com/?q=강북구%20수유동%20192-61</t>
  </si>
  <si>
    <t>1층(김사장고기집)</t>
  </si>
  <si>
    <t>고기집</t>
  </si>
  <si>
    <t>https://map.kakao.com/?q=동작구%20흑석동%20195-19</t>
    <phoneticPr fontId="3" type="noConversion"/>
  </si>
  <si>
    <t>https://map.kakao.com/?q=동작구%20흑석동%20207-19</t>
    <phoneticPr fontId="3" type="noConversion"/>
  </si>
  <si>
    <t>https://map.kakao.com/?q=남동구%20간석동%20915-4</t>
    <phoneticPr fontId="3" type="noConversion"/>
  </si>
  <si>
    <t>경기도 시흥시 대야동 655-2 (매매완료)</t>
    <phoneticPr fontId="3" type="noConversion"/>
  </si>
  <si>
    <t>단독주택</t>
  </si>
  <si>
    <t>평당 3,700원</t>
  </si>
  <si>
    <t>BBQ 공덕점</t>
  </si>
  <si>
    <t>경기도 부천시 오정구 내동 59</t>
  </si>
  <si>
    <t>서울특별시 서대문구 연희동 193-2</t>
  </si>
  <si>
    <t>다음지도URL</t>
  </si>
  <si>
    <t>서울특별시 서대문구 북가좌동 292-12</t>
  </si>
  <si>
    <t>주차시설 매우 좋음, 약대오거리 배후 상권, 고깃집·오릿집 추천</t>
  </si>
  <si>
    <t>무권리</t>
  </si>
  <si>
    <t>서울특별시 마포구 공덕동 475</t>
  </si>
  <si>
    <t>1층(BBQ공덕점)</t>
  </si>
  <si>
    <t>서울특별시 마포구 도화동 165-1</t>
  </si>
  <si>
    <t>1층 공실(전 스시집)</t>
  </si>
  <si>
    <t>마포역 역세권, 오피스 밀집, 이면도로 1층 코너</t>
  </si>
  <si>
    <t>경기도 시흥시 대야동 534-1</t>
  </si>
  <si>
    <t>1층(커피 추천)</t>
  </si>
  <si>
    <t>대로변 가시성 매우 좋음, 2층 미용실·피부과·치과, 고양이카페 등 추천</t>
  </si>
  <si>
    <t>대로변 가시성 매우 좋음, 2층 미용실·피부과·치과</t>
  </si>
  <si>
    <t>https://map.kakao.com/?q=서울특별시%20서대문구%20북가좌동%20292-12</t>
    <phoneticPr fontId="3" type="noConversion"/>
  </si>
  <si>
    <t>https://map.kakao.com/?q=경기도%20시흥시%20대야동%20534-1</t>
    <phoneticPr fontId="3" type="noConversion"/>
  </si>
  <si>
    <t>https://map.kakao.com/?q=서울특별시%20마포구%20도화동%20165-1</t>
    <phoneticPr fontId="3" type="noConversion"/>
  </si>
  <si>
    <t>경기도 시흥시 대야동 534-1</t>
    <phoneticPr fontId="3" type="noConversion"/>
  </si>
  <si>
    <t>https://map.kakao.com/?q=서울특별시%20마포구%20공덕동%20475</t>
    <phoneticPr fontId="3" type="noConversion"/>
  </si>
  <si>
    <t>https://map.kakao.com/?q=서울특별시%20서대문구%20연희동%20193-2</t>
    <phoneticPr fontId="3" type="noConversion"/>
  </si>
  <si>
    <t>https://map.kakao.com/?q=경기도%20부천시%20오정구%20내동%2059</t>
    <phoneticPr fontId="3" type="noConversion"/>
  </si>
  <si>
    <t>112~113호(기존 마초짬뽕)</t>
  </si>
  <si>
    <t>한칸당35</t>
  </si>
  <si>
    <t>서울 마포구 마포동 192</t>
  </si>
  <si>
    <t>마포역 도보3분, 전면 데크, 가시성 좋음, 주차 가능, 화장실 외부, 서비스 5평</t>
  </si>
  <si>
    <t>서울 마포구 도화동 250-8</t>
  </si>
  <si>
    <t>2층(정성이닭)</t>
  </si>
  <si>
    <t>정성이닭, 권리 조정 가능</t>
  </si>
  <si>
    <t>경기 고양시 덕양구 화정동 975</t>
  </si>
  <si>
    <t>https://map.kakao.com/?q=%EA%B2%BD%EA%B8%B0%20%EA%B3%A0%EC%96%91%EC%8B%9C%20%EB%8D%95%EC%96%91%EA%B5%AC%20%ED%99%94%EC%A0%95%EB%8F%99%20975</t>
  </si>
  <si>
    <t>화정역 먹자 상권, 권리 다운, 주변 임대료·권리금 높음</t>
  </si>
  <si>
    <t>화성시 새솔동 77-1</t>
  </si>
  <si>
    <t>https://map.kakao.com/?q=%ED%99%94%EC%84%B1%EC%8B%9C%20%EC%83%88%EC%86%94%EB%8F%99%2077-1</t>
  </si>
  <si>
    <t>1층 공실(전 포토샵)</t>
  </si>
  <si>
    <t>올리브영 건물, 자리 좋음</t>
  </si>
  <si>
    <t>화성시 새솔동 77-3</t>
  </si>
  <si>
    <t>https://map.kakao.com/?q=%ED%99%94%EC%84%B1%EC%8B%9C%20%EC%83%88%EC%86%94%EB%8F%99%2077-3</t>
  </si>
  <si>
    <t>1층 106호 공실</t>
  </si>
  <si>
    <t>양쪽 임대 완료, 106호만 공실</t>
  </si>
  <si>
    <t>서울 광진구 능동 235-1</t>
  </si>
  <si>
    <t>능동원조칼국수</t>
  </si>
  <si>
    <t>경기 수원시 영통구 영통로130번길 31</t>
  </si>
  <si>
    <t>1층(계략 망포본점)</t>
  </si>
  <si>
    <t>망포 먹자골목, 뒷공간 있음, 네이버지도 https://naver.me/xEA5lBb0</t>
  </si>
  <si>
    <t>화성시 새솔동 78-4</t>
  </si>
  <si>
    <t>https://map.kakao.com/?q=%ED%99%94%EC%84%B1%EC%8B%9C%20%EC%83%88%EC%86%94%EB%8F%99%2078-4</t>
  </si>
  <si>
    <t>월세 600→355(3칸 기준), 렌트프리 3~4개월, 1~2칸 사용 가능, 공영주차장 앞 항아리 상권, 공영주차 2시간 무료</t>
  </si>
  <si>
    <t>화성시 새솔동 57-23</t>
  </si>
  <si>
    <t>https://map.kakao.com/?q=%ED%99%94%EC%84%B1%EC%8B%9C%20%EC%83%88%EC%86%94%EB%8F%99%2057-23</t>
  </si>
  <si>
    <t>1층 공실 전체사용</t>
  </si>
  <si>
    <t>화성시 새솔동 51-9</t>
  </si>
  <si>
    <t>https://map.kakao.com/?q=%ED%99%94%EC%84%B1%EC%8B%9C%20%EC%83%88%EC%86%94%EB%8F%99%2051-9</t>
  </si>
  <si>
    <t>1층(푸라닭치킨)</t>
  </si>
  <si>
    <t>화성시 석우동 34-5 106호~107호</t>
  </si>
  <si>
    <t>https://map.kakao.com/?q=%ED%99%94%EC%84%B1%EC%8B%9C%20%EC%84%9D%EC%9A%B0%EB%8F%99%2034-5%20106%ED%98%B8~107%ED%98%B8</t>
  </si>
  <si>
    <t>106~107호</t>
  </si>
  <si>
    <t>철거 해줌</t>
  </si>
  <si>
    <t>서울 강남구 삼성동 141-33</t>
  </si>
  <si>
    <t>https://map.kakao.com/?q=%EC%84%9C%EC%9A%B8%20%EA%B0%95%EB%82%A8%EA%B5%AC%20%EC%82%BC%EC%84%B1%EB%8F%99%20141-33</t>
  </si>
  <si>
    <t>1층(복층 10평 서비스)</t>
  </si>
  <si>
    <t>깔끔한 업종 선호, 복층 10평 서비스</t>
  </si>
  <si>
    <t>서울 강남구 삼성동 141-19</t>
  </si>
  <si>
    <t>https://map.kakao.com/?q=%EC%84%9C%EC%9A%B8%20%EA%B0%95%EB%82%A8%EA%B5%AC%20%EC%82%BC%EC%84%B1%EB%8F%99%20141-19</t>
  </si>
  <si>
    <t>1F19 / 2F20</t>
  </si>
  <si>
    <t>도시가스·수도 있음, 기름 많이 쓰는 음식점 불가</t>
  </si>
  <si>
    <t>서울 강남구 대치동 889-75</t>
  </si>
  <si>
    <t>https://map.kakao.com/?q=%EC%84%9C%EC%9A%B8%20%EA%B0%95%EB%82%A8%EA%B5%AC%20%EB%8C%80%EC%B9%98%EB%8F%99%20889-75</t>
  </si>
  <si>
    <t>서울 강남구 대치동 898-15</t>
  </si>
  <si>
    <t>https://map.kakao.com/?q=%EC%84%9C%EC%9A%B8%20%EA%B0%95%EB%82%A8%EA%B5%AC%20%EB%8C%80%EC%B9%98%EB%8F%99%20898-15</t>
  </si>
  <si>
    <t>1층(진주가든)</t>
  </si>
  <si>
    <t>서울 강남구 대치동 890-45</t>
  </si>
  <si>
    <t>https://map.kakao.com/?q=%EC%84%9C%EC%9A%B8%20%EA%B0%95%EB%82%A8%EA%B5%AC%20%EB%8C%80%EC%B9%98%EB%8F%99%20890-45</t>
  </si>
  <si>
    <t>1층(압구정찹쌀순대)</t>
  </si>
  <si>
    <t>권리 협의 가능</t>
  </si>
  <si>
    <t>서울 강남구 대치동 897-8</t>
  </si>
  <si>
    <t>https://map.kakao.com/?q=%EC%84%9C%EC%9A%B8%20%EA%B0%95%EB%82%A8%EA%B5%AC%20%EB%8C%80%EC%B9%98%EB%8F%99%20897-8</t>
  </si>
  <si>
    <t>1층(153구포국수)</t>
  </si>
  <si>
    <t>서울 강남구 대치동 895</t>
  </si>
  <si>
    <t>https://map.kakao.com/?q=%EC%84%9C%EC%9A%B8%20%EA%B0%95%EB%82%A8%EA%B5%AC%20%EB%8C%80%EC%B9%98%EB%8F%99%20895</t>
  </si>
  <si>
    <t>1층(상록수)</t>
  </si>
  <si>
    <t>서울 강남구 삼성동 143-32</t>
  </si>
  <si>
    <t>https://map.kakao.com/?q=%EC%84%9C%EC%9A%B8%20%EA%B0%95%EB%82%A8%EA%B5%AC%20%EC%82%BC%EC%84%B1%EB%8F%99%20143-32</t>
  </si>
  <si>
    <t>업종 제한, 한식·중식 불가</t>
  </si>
  <si>
    <t>서울 강남구 삼성동 153-60</t>
  </si>
  <si>
    <t>https://map.kakao.com/?q=%EC%84%9C%EC%9A%B8%20%EA%B0%95%EB%82%A8%EA%B5%AC%20%EC%82%BC%EC%84%B1%EB%8F%99%20153-60</t>
  </si>
  <si>
    <t>1층(어머니족발)</t>
  </si>
  <si>
    <t>서울 용산구 원효로1가 53-10</t>
  </si>
  <si>
    <t>https://map.kakao.com/?q=%EC%84%9C%EC%9A%B8%20%EC%9A%A9%EC%82%B0%EA%B5%AC%20%EC%9B%90%ED%9A%A8%EB%A1%9C1%EA%B0%80%2053-10</t>
  </si>
  <si>
    <t>음식점 가능, 고깃집은 초건 꺼림, 후면 주차 가능</t>
  </si>
  <si>
    <t>서울 강남구 역삼동 704-44</t>
  </si>
  <si>
    <t>https://map.kakao.com/?q=%EC%84%9C%EC%9A%B8%20%EA%B0%95%EB%82%A8%EA%B5%AC%20%EC%97%AD%EC%82%BC%EB%8F%99%20704-44</t>
  </si>
  <si>
    <t>2층(아구아구)</t>
  </si>
  <si>
    <t>집기·레시피 인수조건, 타 업종 권리 협의 가능</t>
  </si>
  <si>
    <t>서울 강남구 역삼동 670-3</t>
  </si>
  <si>
    <t>https://map.kakao.com/?q=%EC%84%9C%EC%9A%B8%20%EA%B0%95%EB%82%A8%EA%B5%AC%20%EC%97%AD%EC%82%BC%EB%8F%99%20670-3</t>
  </si>
  <si>
    <t>1층(뚝배기양평해장국)</t>
  </si>
  <si>
    <t>서울 강남구 역삼동 668-10</t>
  </si>
  <si>
    <t>https://map.kakao.com/?q=%EC%84%9C%EC%9A%B8%20%EA%B0%95%EB%82%A8%EA%B5%AC%20%EC%97%AD%EC%82%BC%EB%8F%99%20668-10</t>
  </si>
  <si>
    <t>신의주찹쌀순대</t>
  </si>
  <si>
    <t>서울특별시 은평구 응암동 110-9</t>
  </si>
  <si>
    <t>https://map.kakao.com/?q=%EC%84%9C%EC%9A%B8%ED%8A%B9%EB%B3%84%EC%8B%9C%20%EC%9D%80%ED%8F%89%EA%B5%AC%20%EC%9D%91%EC%95%94%EB%8F%99%20110-9</t>
  </si>
  <si>
    <t>1층(훌랄라 숯불갈비)</t>
  </si>
  <si>
    <t>응암동 이마트 인근, 대로변 가시성 매우 좋음, 운영 1년6개월</t>
  </si>
  <si>
    <t>서울특별시 은평구 응암동 110-53</t>
  </si>
  <si>
    <t>https://map.kakao.com/?q=%EC%84%9C%EC%9A%B8%ED%8A%B9%EB%B3%84%EC%8B%9C%20%EC%9D%80%ED%8F%89%EA%B5%AC%20%EC%9D%91%EC%95%94%EB%8F%99%20110-53</t>
  </si>
  <si>
    <t>1층(청년다방)</t>
  </si>
  <si>
    <t>응암동 이마트 대로변 코너, 가시성 좋음</t>
  </si>
  <si>
    <t>서울 강남구 역삼동 678-33</t>
  </si>
  <si>
    <t>https://map.kakao.com/?q=%EC%84%9C%EC%9A%B8%20%EA%B0%95%EB%82%A8%EA%B5%AC%20%EC%97%AD%EC%82%BC%EB%8F%99%20678-33</t>
  </si>
  <si>
    <t>서울 동작구 사당동 147-53</t>
  </si>
  <si>
    <t>https://map.kakao.com/?q=%EC%84%9C%EC%9A%B8%20%EB%8F%99%EC%9E%91%EA%B5%AC%20%EC%82%AC%EB%8B%B9%EB%8F%99%20147-53</t>
  </si>
  <si>
    <t>이수역 7번출구 앞 대로변 메가박스 건물</t>
  </si>
  <si>
    <t>서울특별시 은평구 응암동 109-2</t>
  </si>
  <si>
    <t>https://map.kakao.com/?q=%EC%84%9C%EC%9A%B8%ED%8A%B9%EB%B3%84%EC%8B%9C%20%EC%9D%80%ED%8F%89%EA%B5%AC%20%EC%9D%91%EC%95%94%EB%8F%99%20109-2</t>
  </si>
  <si>
    <t>대로변 가시성 매우 좋음, 주방 활용도 높아 다양한 업종 가능</t>
  </si>
  <si>
    <t>서울 동작구 사당동 145-28</t>
  </si>
  <si>
    <t>https://map.kakao.com/?q=%EC%84%9C%EC%9A%B8%20%EB%8F%99%EC%9E%91%EA%B5%AC%20%EC%82%AC%EB%8B%B9%EB%8F%99%20145-28</t>
  </si>
  <si>
    <t>내부 복층 구조</t>
  </si>
  <si>
    <t>서울 동작구 사당동 145-13</t>
  </si>
  <si>
    <t>https://map.kakao.com/?q=%EC%84%9C%EC%9A%B8%20%EB%8F%99%EC%9E%91%EA%B5%AC%20%EC%82%AC%EB%8B%B9%EB%8F%99%20145-13</t>
  </si>
  <si>
    <t>1층(홍콩반점)</t>
  </si>
  <si>
    <t>서울 동작구 사당동 147-40</t>
  </si>
  <si>
    <t>https://map.kakao.com/?q=%EC%84%9C%EC%9A%B8%20%EB%8F%99%EC%9E%91%EA%B5%AC%20%EC%82%AC%EB%8B%B9%EB%8F%99%20147-40</t>
  </si>
  <si>
    <t>서울 동작구 사당동 138-3</t>
  </si>
  <si>
    <t>https://map.kakao.com/?q=%EC%84%9C%EC%9A%B8%20%EB%8F%99%EC%9E%91%EA%B5%AC%20%EC%82%AC%EB%8B%B9%EB%8F%99%20138-3</t>
  </si>
  <si>
    <t>오끼</t>
  </si>
  <si>
    <t>서울 동작구 사당동 140-2</t>
  </si>
  <si>
    <t>https://map.kakao.com/?q=%EC%84%9C%EC%9A%B8%20%EB%8F%99%EC%9E%91%EA%B5%AC%20%EC%82%AC%EB%8B%B9%EB%8F%99%20140-2</t>
  </si>
  <si>
    <t>지하1층~1층(낭만)</t>
  </si>
  <si>
    <t>지하1층 계약기간 남아 1층만 단독 사용 불가</t>
  </si>
  <si>
    <t>서울 동작구 사당동 1040-35</t>
  </si>
  <si>
    <t>https://map.kakao.com/?q=%EC%84%9C%EC%9A%B8%20%EB%8F%99%EC%9E%91%EA%B5%AC%20%EC%82%AC%EB%8B%B9%EB%8F%99%201040-35</t>
  </si>
  <si>
    <t>1층(바른황소곱창)</t>
  </si>
  <si>
    <t>서울 강북구 미아동 131-4</t>
  </si>
  <si>
    <t>https://map.kakao.com/?q=%EC%84%9C%EC%9A%B8%20%EA%B0%95%EB%B6%81%EA%B5%AC%20%EB%AF%B8%EC%95%84%EB%8F%99%20131-4</t>
  </si>
  <si>
    <t>1층(명륜진사갈비)</t>
  </si>
  <si>
    <t>서울 강북구 미아동 302-26</t>
  </si>
  <si>
    <t>https://map.kakao.com/?q=%EC%84%9C%EC%9A%B8%20%EA%B0%95%EB%B6%81%EA%B5%AC%20%EB%AF%B8%EC%95%84%EB%8F%99%20302-26</t>
  </si>
  <si>
    <t>1층(못잊져)</t>
  </si>
  <si>
    <t>서울 강북구 수유동 192-3</t>
  </si>
  <si>
    <t>https://map.kakao.com/?q=%EC%84%9C%EC%9A%B8%20%EA%B0%95%EB%B6%81%EA%B5%AC%20%EC%88%98%EC%9C%A0%EB%8F%99%20192-3</t>
  </si>
  <si>
    <t>1층(깡우동)</t>
  </si>
  <si>
    <t>서울 강북구 수유동 192-61</t>
  </si>
  <si>
    <t>https://map.kakao.com/?q=%EC%84%9C%EC%9A%B8%20%EA%B0%95%EB%B6%81%EA%B5%AC%20%EC%88%98%EC%9C%A0%EB%8F%99%20192-61</t>
  </si>
  <si>
    <t>1층(김사장)</t>
  </si>
  <si>
    <t>서울 강북구 미아동 304-16</t>
  </si>
  <si>
    <t>https://map.kakao.com/?q=%EC%84%9C%EC%9A%B8%20%EA%B0%95%EB%B6%81%EA%B5%AC%20%EB%AF%B8%EC%95%84%EB%8F%99%20304-16</t>
  </si>
  <si>
    <t>1층(민물풍천장어)</t>
  </si>
  <si>
    <t>임대료 인상 가능성, 권리 조정 가능</t>
  </si>
  <si>
    <t>서울 강북구 수유동 176-70</t>
  </si>
  <si>
    <t>https://map.kakao.com/?q=%EC%84%9C%EC%9A%B8%20%EA%B0%95%EB%B6%81%EA%B5%AC%20%EC%88%98%EC%9C%A0%EB%8F%99%20176-70</t>
  </si>
  <si>
    <t>1층(수유나주곰탕)</t>
  </si>
  <si>
    <t>서울 강북구 수유동 174-35</t>
  </si>
  <si>
    <t>https://map.kakao.com/?q=%EC%84%9C%EC%9A%B8%20%EA%B0%95%EB%B6%81%EA%B5%AC%20%EC%88%98%EC%9C%A0%EB%8F%99%20174-35</t>
  </si>
  <si>
    <t>1층(역전할머니맥주)</t>
  </si>
  <si>
    <t>서울 강북구 수유동 188-7</t>
  </si>
  <si>
    <t>https://map.kakao.com/?q=%EC%84%9C%EC%9A%B8%20%EA%B0%95%EB%B6%81%EA%B5%AC%20%EC%88%98%EC%9C%A0%EB%8F%99%20188-7</t>
  </si>
  <si>
    <t>1층(차이나온)</t>
  </si>
  <si>
    <t>서울 강북구 번동 448-1</t>
  </si>
  <si>
    <t>https://map.kakao.com/?q=%EC%84%9C%EC%9A%B8%20%EA%B0%95%EB%B6%81%EA%B5%AC%20%EB%B2%88%EB%8F%99%20448-1</t>
  </si>
  <si>
    <t>1층 공실(전 현주식당)</t>
  </si>
  <si>
    <t>경기 안산시 단원구 고잔동 523-1</t>
  </si>
  <si>
    <t>https://map.kakao.com/?q=%EA%B2%BD%EA%B8%B0%20%EC%95%88%EC%82%B0%EC%8B%9C%20%EB%8B%A8%EC%9B%90%EA%B5%AC%20%EA%B3%A0%EC%9E%94%EB%8F%99%20523-1</t>
  </si>
  <si>
    <t>평당8600원</t>
  </si>
  <si>
    <t>주차 가능, 렌트프리 협의, 안산시청 대로변, 빕스·광양본사 입점, 2~7층 주차타워, 대형 사무실 건물, 커피·대형 고깃집 추천</t>
  </si>
  <si>
    <t>서울 노원구 상계동 336</t>
  </si>
  <si>
    <t>https://map.kakao.com/?q=%EC%84%9C%EC%9A%B8%20%EB%85%B8%EC%9B%90%EA%B5%AC%20%EC%83%81%EA%B3%84%EB%8F%99%20336</t>
  </si>
  <si>
    <t>1층(핸드폰가게)</t>
  </si>
  <si>
    <t>서울 노원구 상계동 357-8</t>
  </si>
  <si>
    <t>https://map.kakao.com/?q=%EC%84%9C%EC%9A%B8%20%EB%85%B8%EC%9B%90%EA%B5%AC%20%EC%83%81%EA%B3%84%EB%8F%99%20357-8</t>
  </si>
  <si>
    <t>1층(인생조개)</t>
  </si>
  <si>
    <t>서울 노원구 상계동 354-6</t>
  </si>
  <si>
    <t>https://map.kakao.com/?q=%EC%84%9C%EC%9A%B8%20%EB%85%B8%EC%9B%90%EA%B5%AC%20%EC%83%81%EA%B3%84%EB%8F%99%20354-6</t>
  </si>
  <si>
    <t>1층(삼덕식당)</t>
  </si>
  <si>
    <t>서울 노원구 상계동 366-13</t>
  </si>
  <si>
    <t>https://map.kakao.com/?q=%EC%84%9C%EC%9A%B8%20%EB%85%B8%EC%9B%90%EA%B5%AC%20%EC%83%81%EA%B3%84%EB%8F%99%20366-13</t>
  </si>
  <si>
    <t>1층(부부닭한마리)</t>
  </si>
  <si>
    <t>넓은 별도 창고, 노출 좋고 점심 장사 잘되는 자리</t>
  </si>
  <si>
    <t>서울 노원구 상계동 349-51</t>
  </si>
  <si>
    <t>https://map.kakao.com/?q=%EC%84%9C%EC%9A%B8%20%EB%85%B8%EC%9B%90%EA%B5%AC%20%EC%83%81%EA%B3%84%EB%8F%99%20349-51</t>
  </si>
  <si>
    <t>1층(명동면사무소)</t>
  </si>
  <si>
    <t>서비스면적 5평 창고, 노원역 도보1분, 대로변1층, 최고입지</t>
  </si>
  <si>
    <t>경기도 성남시 수정구 신흥동 4229</t>
  </si>
  <si>
    <t>https://map.kakao.com/?q=%EA%B2%BD%EA%B8%B0%EB%8F%84%20%EC%84%B1%EB%82%A8%EC%8B%9C%20%EC%88%98%EC%A0%95%EA%B5%AC%20%EC%8B%A0%ED%9D%A5%EB%8F%99%204229</t>
  </si>
  <si>
    <t>성남 신흥역 대로변, 가시성·입지·주차 매우 좋음</t>
  </si>
  <si>
    <t>서울 노원구 상계동 324-4</t>
  </si>
  <si>
    <t>https://map.kakao.com/?q=%EC%84%9C%EC%9A%B8%20%EB%85%B8%EC%9B%90%EA%B5%AC%20%EC%83%81%EA%B3%84%EB%8F%99%20324-4</t>
  </si>
  <si>
    <t>1층(인바이트)</t>
  </si>
  <si>
    <t>서울 노원구 중계동 142-39</t>
  </si>
  <si>
    <t>https://map.kakao.com/?q=%EC%84%9C%EC%9A%B8%20%EB%85%B8%EC%9B%90%EA%B5%AC%20%EC%A4%91%EA%B3%84%EB%8F%99%20142-39</t>
  </si>
  <si>
    <t>역전할머니맥주</t>
  </si>
  <si>
    <t>서울 노원구 공릉동 392-25</t>
  </si>
  <si>
    <t>https://map.kakao.com/?q=%EC%84%9C%EC%9A%B8%20%EB%85%B8%EC%9B%90%EA%B5%AC%20%EA%B3%B5%EB%A6%89%EB%8F%99%20392-25</t>
  </si>
  <si>
    <t>1층(낮밤)</t>
  </si>
  <si>
    <t>경기도 용인시 기흥구 영덕동 987-12</t>
  </si>
  <si>
    <t>https://map.kakao.com/?q=%EA%B2%BD%EA%B8%B0%EB%8F%84%20%EC%9A%A9%EC%9D%B8%EC%8B%9C%20%EA%B8%B0%ED%9D%A5%EA%B5%AC%20%EC%98%81%EB%8D%95%EB%8F%99%20987-12</t>
  </si>
  <si>
    <t>1층(각각)</t>
  </si>
  <si>
    <t>22평 호실, 대로변 가시성 및 전면 우수</t>
  </si>
  <si>
    <t>21평 호실, 대로변 가시성 및 전면 우수</t>
  </si>
  <si>
    <t>서울 도봉구 방학동 670-14</t>
  </si>
  <si>
    <t>https://map.kakao.com/?q=%EC%84%9C%EC%9A%B8%20%EB%8F%84%EB%B4%89%EA%B5%AC%20%EB%B0%A9%ED%95%99%EB%8F%99%20670-14</t>
  </si>
  <si>
    <t>1층(현재카츠)</t>
  </si>
  <si>
    <t>건물 지하 카즈수영장 예정, 바로 앞 버스정류장, 커피·버거·샌드위치 추천</t>
  </si>
  <si>
    <t>서울특별시 은평구 응암동 91-3</t>
  </si>
  <si>
    <t>https://map.kakao.com/?q=%EC%84%9C%EC%9A%B8%ED%8A%B9%EB%B3%84%EC%8B%9C%20%EC%9D%80%ED%8F%89%EA%B5%AC%20%EC%9D%91%EC%95%94%EB%8F%99%2091-3</t>
  </si>
  <si>
    <t>양방향 노출, 대로변 무권리, 음식점 가능</t>
  </si>
  <si>
    <t>경기도 안산시 상록구 이동 706-7</t>
  </si>
  <si>
    <t>한대앞역 건너편, 버거팅 맞은편, 가시성 좋음, 수도 있음, 도시가스 연결 필요</t>
  </si>
  <si>
    <t>서울특별시 동작구 대방동 398-5</t>
  </si>
  <si>
    <t>주차 2대, 신대방삼거리 대로변 코너 무권리 상가, 주변 학교·사무실 많음</t>
  </si>
  <si>
    <t>https://map.kakao.com/?q=%EC%84%9C%EC%9A%B8%20%EB%A7%88%ED%8F%AC%EA%B5%AC%20%EB%A7%88%ED%8F%AC%EB%8F%99%20192</t>
    <phoneticPr fontId="3" type="noConversion"/>
  </si>
  <si>
    <t>https://map.kakao.com/?q=%EC%84%9C%EC%9A%B8%20%EB%A7%88%ED%8F%AC%EA%B5%AC%20%EB%8F%84%ED%99%94%EB%8F%99%20250-8</t>
    <phoneticPr fontId="3" type="noConversion"/>
  </si>
  <si>
    <t>https://map.kakao.com/?q=%EA%B2%BD%EA%B8%B0%20%EC%88%98%EC%9B%90%EC%8B%9C%20%EC%98%81%ED%86%B5%EA%B5%AC%20%EC%98%81%ED%86%B5%EB%A1%9C130%EB%B2%88%EA%B8%B8%2031</t>
    <phoneticPr fontId="3" type="noConversion"/>
  </si>
  <si>
    <t xml:space="preserve">화성시 석우동 34-5 </t>
    <phoneticPr fontId="3" type="noConversion"/>
  </si>
  <si>
    <t>112~113호 3칸 중 2칸 임대, 주방시설 있음, 기존 권리 1억→무권리</t>
    <phoneticPr fontId="3" type="noConversion"/>
  </si>
  <si>
    <t>https://map.kakao.com/?q=%ED%99%94%EC%84%B1%EC%8B%9C%20%EC%84%9D%EC%9A%B0%EB%8F%99%2034-5%20</t>
    <phoneticPr fontId="3" type="noConversion"/>
  </si>
  <si>
    <t>https://map.kakao.com/?q=%EC%84%9C%EC%9A%B8%ED%8A%B9%EB%B3%84%EC%8B%9C%20%EB%8F%99%EC%9E%91%EA%B5%AC%20%EB%8C%80%EB%B0%A9%EB%8F%99%20398-5</t>
    <phoneticPr fontId="3" type="noConversion"/>
  </si>
  <si>
    <t>https://map.kakao.com/?q=%EA%B2%BD%EA%B8%B0%EB%8F%84%20%EC%95%88%EC%82%B0%EC%8B%9C%20%EC%83%81%EB%A1%9D%EA%B5%AC%20%EC%9D%B4%EB%8F%99%20706-7</t>
    <phoneticPr fontId="3" type="noConversion"/>
  </si>
  <si>
    <t>다음 지도 바로가기</t>
  </si>
  <si>
    <t>층수/구성</t>
  </si>
  <si>
    <t>도봉구 쌍문동 423-2</t>
  </si>
  <si>
    <t>1층 공실(구 하나은행)</t>
  </si>
  <si>
    <t>덕성여대 대로변, 노출 좋음, 다이소 건물</t>
  </si>
  <si>
    <t>강북구 미아동 90-43</t>
  </si>
  <si>
    <t>충북 청주시 상당구 금천동 276</t>
  </si>
  <si>
    <t>1층(김밥천국)</t>
  </si>
  <si>
    <t>현 김밥천국 운영, 주변 대비 임대료 저렴</t>
  </si>
  <si>
    <t>충북 청주시 상당구 금천동 287</t>
  </si>
  <si>
    <t>https://map.kakao.com/?q=충북 청주시 상당구 금천동 287</t>
  </si>
  <si>
    <t>2층(미스터피자)</t>
  </si>
  <si>
    <t>대로변 코너, 상권 초입 매장</t>
  </si>
  <si>
    <t>충북 청주시 상당구 용담동 387</t>
  </si>
  <si>
    <t>https://map.kakao.com/?q=충북 청주시 상당구 용담동 387</t>
  </si>
  <si>
    <t>천장형 에어컨 3대, 2,000세대 이상 배후, 상가 앞 주차장</t>
  </si>
  <si>
    <t>도봉구 방학동 703-17</t>
  </si>
  <si>
    <t>1층(청과)</t>
  </si>
  <si>
    <t>권리 조정 중</t>
  </si>
  <si>
    <t>강북구 미아동 55-20</t>
  </si>
  <si>
    <t>https://map.kakao.com/?q=강북구 미아동 55-20</t>
  </si>
  <si>
    <t>2층(미아회관)</t>
  </si>
  <si>
    <t>도봉구 창동 822</t>
  </si>
  <si>
    <t>https://map.kakao.com/?q=도봉구 창동 822</t>
  </si>
  <si>
    <t>1층(송사부고로케)</t>
  </si>
  <si>
    <t>창동역 2번출구 라인, 유동인구 많음</t>
  </si>
  <si>
    <t>강북구 수유동 191-59</t>
  </si>
  <si>
    <t>https://map.kakao.com/?q=강북구 수유동 191-59</t>
  </si>
  <si>
    <t>1층(두리맛감자탕)</t>
  </si>
  <si>
    <t>강북구 수유동 224-13</t>
  </si>
  <si>
    <t>https://map.kakao.com/?q=강북구 수유동 224-13</t>
  </si>
  <si>
    <t>1층(이찌방)</t>
  </si>
  <si>
    <t>TOP5 상가, 예전 권리 3억, 대형 고기 프랜차이즈 권리 인하 중</t>
  </si>
  <si>
    <t>https://map.kakao.com/?q=강북구 수유동 192-61</t>
  </si>
  <si>
    <t>먹자 최고 상권, 권리 2억에 들어온 자리, 투자자 시설권리 6,000만 희망</t>
  </si>
  <si>
    <t>충북 청주시 상당구 용담동 381</t>
  </si>
  <si>
    <t>https://map.kakao.com/?q=충북 청주시 상당구 용담동 381</t>
  </si>
  <si>
    <t>1층(유가네닭갈비)</t>
  </si>
  <si>
    <t>보증금 3,000까지 협의 가능, 시설 매우 좋음</t>
  </si>
  <si>
    <t>강북구 수유동 229-47</t>
  </si>
  <si>
    <t>https://map.kakao.com/?q=강북구 수유동 229-47</t>
  </si>
  <si>
    <t>1층(해탄)</t>
  </si>
  <si>
    <t>야외테라스·창고 포함</t>
  </si>
  <si>
    <t>경기 의정부시 천보로 64 그린타워 2층</t>
  </si>
  <si>
    <t>2층(일촌버섯매운탕 샤브샤브)</t>
  </si>
  <si>
    <t>무권리, 현재 운영 중, 관리비 별도</t>
  </si>
  <si>
    <t>의정부시 민락동 805-2</t>
  </si>
  <si>
    <t>https://map.kakao.com/?q=의정부시 민락동 805-2</t>
  </si>
  <si>
    <t>4개 호실 분할 가능, 30평 기준 5,000/450, 대형 프랜차이즈·퓨전음식점·카페 추천</t>
  </si>
  <si>
    <t>의정부시 민락동 790-2</t>
  </si>
  <si>
    <t>https://map.kakao.com/?q=의정부시 민락동 790-2</t>
  </si>
  <si>
    <t>1층(철물)</t>
  </si>
  <si>
    <t>의정부시 민락동 806-1</t>
  </si>
  <si>
    <t>https://map.kakao.com/?q=의정부시 민락동 806-1</t>
  </si>
  <si>
    <t>1층(38쌈장집)</t>
  </si>
  <si>
    <t>사거리 국민은행 건물 코너자리</t>
  </si>
  <si>
    <t>노원구 상계동 367-11</t>
  </si>
  <si>
    <t>https://map.kakao.com/?q=노원구 상계동 367-11</t>
  </si>
  <si>
    <t>노원구 상계동 366-3</t>
  </si>
  <si>
    <t>https://map.kakao.com/?q=노원구 상계동 366-3</t>
  </si>
  <si>
    <t>1층(직화욱이짬뽕)</t>
  </si>
  <si>
    <t>노원역 10번출구 도보 1분, 대로변 코너, 유동·가시성·접근성 우수</t>
  </si>
  <si>
    <t>노원구 상계동 693-2</t>
  </si>
  <si>
    <t>https://map.kakao.com/?q=노원구 상계동 693-2</t>
  </si>
  <si>
    <t>1층(할매순대국)</t>
  </si>
  <si>
    <t>노원역 9번출구 도보 2분, 대로변 상권, 버스정류장·횡단보도 인접, 유동 많음</t>
  </si>
  <si>
    <t>https://map.kakao.com/?q=도봉구 쌍문동 423-2</t>
    <phoneticPr fontId="3" type="noConversion"/>
  </si>
  <si>
    <t>https://map.kakao.com/?q=강북구 미아동 90-43</t>
    <phoneticPr fontId="3" type="noConversion"/>
  </si>
  <si>
    <t>https://map.kakao.com/?q=충북 청주시 상당구 금천동 276</t>
    <phoneticPr fontId="3" type="noConversion"/>
  </si>
  <si>
    <t>https://map.kakao.com/?q=도봉구 방학동 703-17</t>
    <phoneticPr fontId="3" type="noConversion"/>
  </si>
  <si>
    <t>https://map.kakao.com/?q=의정부시 천보로64 그린타워2층</t>
    <phoneticPr fontId="3" type="noConversion"/>
  </si>
  <si>
    <t>전용평수</t>
  </si>
  <si>
    <t>보증금</t>
  </si>
  <si>
    <t>임대료</t>
  </si>
  <si>
    <t>권리금</t>
  </si>
  <si>
    <t>관리비</t>
  </si>
  <si>
    <t>핵심 포인트</t>
  </si>
  <si>
    <t>충청북도 청주시 상당구 용담동 391</t>
  </si>
  <si>
    <t>지도</t>
  </si>
  <si>
    <t>39평</t>
  </si>
  <si>
    <t>시설완비, 즉시영업</t>
  </si>
  <si>
    <t>충청북도 청주시 상당구 용담동 383</t>
  </si>
  <si>
    <t>20평</t>
  </si>
  <si>
    <t>없음</t>
  </si>
  <si>
    <t>먹자코너, 가시성 우수</t>
  </si>
  <si>
    <t>충청북도 청주시 상당구 금천동 303</t>
  </si>
  <si>
    <t>19평</t>
  </si>
  <si>
    <t>성수기 1,900 / 비수기 1,500</t>
  </si>
  <si>
    <t>서울특별시 은평구 대조동 187-53</t>
  </si>
  <si>
    <t>45평</t>
  </si>
  <si>
    <t>대형 평수</t>
  </si>
  <si>
    <t>서울특별시 은평구 응암동 88-23</t>
  </si>
  <si>
    <t>27평</t>
  </si>
  <si>
    <t>즉시 입점 가능</t>
  </si>
  <si>
    <t>서울특별시 은평구 응암동 88-28</t>
  </si>
  <si>
    <t>서울특별시 은평구 응암동 109-32</t>
  </si>
  <si>
    <t>30평</t>
  </si>
  <si>
    <t>서울특별시 은평구 역촌동 43-4</t>
  </si>
  <si>
    <t>메인 상권</t>
  </si>
  <si>
    <t>서울특별시 은평구 신사동 16-21</t>
  </si>
  <si>
    <t>시설 특A급</t>
  </si>
  <si>
    <t>25평+야장</t>
  </si>
  <si>
    <t>야장 가능</t>
  </si>
  <si>
    <t>서울특별시 은평구 응암동 597-9</t>
  </si>
  <si>
    <t>먹자골목</t>
  </si>
  <si>
    <t>서울특별시 은평구 응암동 602-45</t>
  </si>
  <si>
    <t>58평</t>
  </si>
  <si>
    <t>대림시장 앞</t>
  </si>
  <si>
    <t>서울특별시 은평구 갈현동 450-22</t>
  </si>
  <si>
    <t>14평</t>
  </si>
  <si>
    <t>학교 3곳</t>
  </si>
  <si>
    <t>서울특별시 은평구 갈현동 448-38</t>
  </si>
  <si>
    <t>학생 상권</t>
  </si>
  <si>
    <t>지도</t>
    <phoneticPr fontId="3" type="noConversion"/>
  </si>
  <si>
    <t xml:space="preserve">다음지도 </t>
    <phoneticPr fontId="3" type="noConversion"/>
  </si>
  <si>
    <t>층수·현업종/상태</t>
  </si>
  <si>
    <t>1층 · 족발야시장</t>
  </si>
  <si>
    <t>1층 · 공실</t>
  </si>
  <si>
    <t>1층 · 바나프레소</t>
  </si>
  <si>
    <t>1층 · 기존 편의점</t>
  </si>
  <si>
    <t>1층 · 무공돈까스</t>
  </si>
  <si>
    <t>1층 · 잘될수밖에없는집</t>
  </si>
  <si>
    <t>1층 · 역전할머니맥주</t>
  </si>
  <si>
    <t>1층 · 홍능참숯불갈비</t>
  </si>
  <si>
    <t>1층 · 쪽갈비(+야장)</t>
  </si>
  <si>
    <t>1층 · 공실(2칸)</t>
  </si>
  <si>
    <t>1층 · 공실(구 올리브영)</t>
  </si>
  <si>
    <t>1층 · 계돈</t>
  </si>
  <si>
    <t>1층 · 공실(코너)</t>
  </si>
  <si>
    <t>지도바로가기</t>
  </si>
  <si>
    <t>경기 시흥시 대야동 529-3</t>
  </si>
  <si>
    <t>85평</t>
  </si>
  <si>
    <t>시설완비 / 대야동 먹자상권 / 코너매장 / 상주인구 3만명</t>
  </si>
  <si>
    <t>서울 금천구 가산동 60-18</t>
  </si>
  <si>
    <t>37평</t>
  </si>
  <si>
    <t>현 공실 / 가산디지털단지 상주·유동인구 매우 좋음</t>
  </si>
  <si>
    <t>역 1초 / 커피·음식점 추천 / 주차 좋음 / 최대 조율 가능(원문)</t>
  </si>
  <si>
    <t>인천 남동구 서창동 708-4</t>
  </si>
  <si>
    <t>어닝·데크로 가시성 좋음 / 기존 인하순대집→꼬치마요 / 만기 임박(권리 1,000 얘기)이나 무권리 가능(원문)</t>
  </si>
  <si>
    <t>서울 송파구 가락동 73-3</t>
  </si>
  <si>
    <t>가락시장역 대로변 가시성 좋음 / 고깃집 불가·음식점 가능 / 전면주차 2~3대</t>
  </si>
  <si>
    <t>경기 안산시 상록구 사동 1423</t>
  </si>
  <si>
    <t>12평</t>
  </si>
  <si>
    <t>상록이편한세상 단지내상가</t>
  </si>
  <si>
    <t>38평</t>
  </si>
  <si>
    <t>시설 좋음 / 내부화장실 / 상록이편한세상 맞은편 / 주택가 배후로 유동 많음</t>
  </si>
  <si>
    <t>서울 중구 황학동 1101-1</t>
  </si>
  <si>
    <t>주차 가능 / 대로변 가시성 좋음 / 아파트 밀집+직장인 상권</t>
  </si>
  <si>
    <t>경기 군포시 산본동 1142-7</t>
  </si>
  <si>
    <t>철거비 1,000만원(소유주 보관중)</t>
  </si>
  <si>
    <t>경기 군포시 산본동 1130-1</t>
  </si>
  <si>
    <t>59.89평</t>
  </si>
  <si>
    <t>산본 중심상가 메인자리 / 통창 채광 양호</t>
  </si>
  <si>
    <t>서울 송파구 가락동 141-5</t>
  </si>
  <si>
    <t>25평</t>
  </si>
  <si>
    <t>전용 넓음 / 내부화장실 / 주차 가능</t>
  </si>
  <si>
    <t>43평</t>
  </si>
  <si>
    <t>분할 가능(30평+13평)</t>
  </si>
  <si>
    <t>서울 송파구 가락동 79</t>
  </si>
  <si>
    <t>34평</t>
  </si>
  <si>
    <t>내부화장실 / 건물내 주차 / 권리 조정 가능</t>
  </si>
  <si>
    <t>서울 송파구 가락동 81-6</t>
  </si>
  <si>
    <t>30평(26평+창고)</t>
  </si>
  <si>
    <t>가락본동우체국 사거리 / 권리 조정 가능</t>
  </si>
  <si>
    <t>서울 강서구 마곡동 757-2</t>
  </si>
  <si>
    <t>31.88평</t>
  </si>
  <si>
    <t>마곡나루역 도보3분 / 자주식 주차 편리</t>
  </si>
  <si>
    <t>서울 강서구 마곡동 772-8</t>
  </si>
  <si>
    <t>32평</t>
  </si>
  <si>
    <t>시설 잘되어있음</t>
  </si>
  <si>
    <t>서울 강서구 마곡동 759-3</t>
  </si>
  <si>
    <t>35평</t>
  </si>
  <si>
    <t>스타벅스 건물 / 코너호실 노출 좋음 / 마곡나루역 도보3분 / 정기주차+방문객 할인</t>
  </si>
  <si>
    <t>인천 남동구 간석동 394-9</t>
  </si>
  <si>
    <t>간석역 먹자상권 / 역세권 도보5분 / 유동 좋음 / 동종업종 불가</t>
  </si>
  <si>
    <t>경기 안산시 상록구 사동 1385-10</t>
  </si>
  <si>
    <t>36평</t>
  </si>
  <si>
    <t>내부 넓고 좋음 / 이편한세상사거리 가시성 매우 좋음 / 홀+배달 모두 가능(원문)</t>
  </si>
  <si>
    <t>인천 부평구 십정동 408-11</t>
  </si>
  <si>
    <t>23평</t>
  </si>
  <si>
    <t>현 음식점 시설 / 무권리</t>
  </si>
  <si>
    <t>인천 부평구 십정동 419-10</t>
  </si>
  <si>
    <t>44평</t>
  </si>
  <si>
    <t>고깃집 시설 완비 / 전면 매우 좋음 / 가게 앞 주차 / 동암역 메인상권</t>
  </si>
  <si>
    <t>층수·상호</t>
  </si>
  <si>
    <t>1층 육미제당</t>
  </si>
  <si>
    <t>1층 (구) 분짜 라붐</t>
  </si>
  <si>
    <t>1층 꼬치마요</t>
  </si>
  <si>
    <t>1층 옥된장</t>
  </si>
  <si>
    <t>1층 -</t>
  </si>
  <si>
    <t>1층 명태마루</t>
  </si>
  <si>
    <t>1층 황금코다리</t>
  </si>
  <si>
    <t>1층 사누끼우동</t>
  </si>
  <si>
    <t>1층 공실(구 SK핸드폰매장)</t>
  </si>
  <si>
    <t>2층 부대찌개연구소</t>
  </si>
  <si>
    <t>1층 참좋은식탁</t>
  </si>
  <si>
    <t>1층 능동원조칼국수</t>
  </si>
  <si>
    <t>1층 단골집</t>
  </si>
  <si>
    <t>1층 역전국밥</t>
  </si>
  <si>
    <t>1층 고기집</t>
  </si>
  <si>
    <t>2층 -</t>
  </si>
  <si>
    <t>1층 호치킨</t>
  </si>
  <si>
    <t>1층 장미막창</t>
  </si>
  <si>
    <t>보증금</t>
    <phoneticPr fontId="3" type="noConversion"/>
  </si>
  <si>
    <t>임대료</t>
    <phoneticPr fontId="3" type="noConversion"/>
  </si>
  <si>
    <t>권리금</t>
    <phoneticPr fontId="3" type="noConversion"/>
  </si>
  <si>
    <t>1층 우정소갈비</t>
    <phoneticPr fontId="3" type="noConversion"/>
  </si>
  <si>
    <t>20평</t>
    <phoneticPr fontId="3" type="noConversion"/>
  </si>
  <si>
    <t>22평</t>
    <phoneticPr fontId="3" type="noConversion"/>
  </si>
  <si>
    <t>경기 안산시 상록구 사동 1424-3</t>
    <phoneticPr fontId="3" type="noConversion"/>
  </si>
  <si>
    <t>서울 종로구 관철동 10-2</t>
  </si>
  <si>
    <t>1~2층 -</t>
  </si>
  <si>
    <t>50평</t>
  </si>
  <si>
    <t>종각역 4번출구 도보5분 / 대로변 가시성 최강 / 화장실 내부 남녀분리</t>
  </si>
  <si>
    <t>서울 종로구 관철동 11-24</t>
  </si>
  <si>
    <t>1층 청계빨간집</t>
  </si>
  <si>
    <t>야장가능 / 관철동 먹자라인 합리적 임대조건(원문) / 오피스·광역중심 먹자상권 / 별도 창고 5평+ / 전용주차 2대</t>
  </si>
  <si>
    <t>경기 안양시 동안구 비산동 1059</t>
  </si>
  <si>
    <t>1층 편백샤브샤브</t>
  </si>
  <si>
    <t>64평(실85가능)</t>
  </si>
  <si>
    <t>잔금 빨리하면 권리 추가조정 가능(원문) / 별도 창고 약10평</t>
  </si>
  <si>
    <t>서울 중구 을지로3가 302-15</t>
  </si>
  <si>
    <t>1층 전주옥</t>
  </si>
  <si>
    <t>서울 중구 을지로3가 334-20</t>
  </si>
  <si>
    <t>1~3층 라온라이팅</t>
  </si>
  <si>
    <t>1층 짬뽕타운</t>
  </si>
  <si>
    <t>36.1평</t>
  </si>
  <si>
    <t>비산동 키즈맘센터 1층 / 대로변 1층 가시성 좋음 / 건물내 주차 편리</t>
  </si>
  <si>
    <t>서울 은평구 갈현동 452-15</t>
  </si>
  <si>
    <t>19.5평</t>
  </si>
  <si>
    <t>학원가 / 2차선 도로변 / 학교주변 입지</t>
  </si>
  <si>
    <t>인천 부평구 청천동 190-3</t>
  </si>
  <si>
    <t>1층 광화문 숯불갈비</t>
  </si>
  <si>
    <t>서울 중구 저동2가 16-3</t>
  </si>
  <si>
    <t>1층 신세계분식</t>
  </si>
  <si>
    <t>18평</t>
  </si>
  <si>
    <t>서울 중구 초동 19-4</t>
  </si>
  <si>
    <t>1층 미소로바다야끼</t>
  </si>
  <si>
    <t>24평</t>
  </si>
  <si>
    <t>내부 복층구조(16평+8평)</t>
  </si>
  <si>
    <t>서울 중구 을지로3가 350-1</t>
  </si>
  <si>
    <t>서울 중구 저동2가 76-7</t>
  </si>
  <si>
    <t>1층 홍차오</t>
  </si>
  <si>
    <t>15평</t>
  </si>
  <si>
    <t>서울 중구 초동 19-9</t>
  </si>
  <si>
    <t>1층 빅그린커피앤베이커리</t>
  </si>
  <si>
    <t>서울 중구 을지로3가 296-25</t>
  </si>
  <si>
    <t>1층 이자카야 해방</t>
  </si>
  <si>
    <t>13평</t>
  </si>
  <si>
    <t>지하 약10평 있음(창고용도)</t>
  </si>
  <si>
    <t>서울 중구 초동 21-12</t>
  </si>
  <si>
    <t>1층 하림통닭</t>
  </si>
  <si>
    <t>서울 중구 을지로3가 342-1</t>
  </si>
  <si>
    <t>1층 을지호프</t>
  </si>
  <si>
    <t>경기 군포시 산본동 1123-3</t>
  </si>
  <si>
    <t>1층 이차돌</t>
  </si>
  <si>
    <t>산본에서 귀한 30평 대박자리(원문) / 건물 업종제한으로 동종업종 불가(원문) / 권리 조정가능</t>
  </si>
  <si>
    <t>경기 군포시 산본동 1142-2</t>
  </si>
  <si>
    <t>1층 순대국</t>
  </si>
  <si>
    <t>16평</t>
  </si>
  <si>
    <t>경기 군포시 산본동 1142-8</t>
  </si>
  <si>
    <t>1층 스시네코</t>
  </si>
  <si>
    <t>56.6평</t>
  </si>
  <si>
    <t>평수 넓은 귀한자리(원문) / 옆 맛찬들 대기 많음(원문)</t>
  </si>
  <si>
    <t>경기 군포시 산본동 1131-2</t>
  </si>
  <si>
    <t>1층 KT</t>
  </si>
  <si>
    <t>경기 군포시 산본동 1137-3</t>
  </si>
  <si>
    <t>1층 청년다방</t>
  </si>
  <si>
    <t>28평</t>
  </si>
  <si>
    <t>경기 안양시 동안구 관양동 1501</t>
  </si>
  <si>
    <t>1층 육수당</t>
  </si>
  <si>
    <t>26평</t>
  </si>
  <si>
    <t>인덕원역 4번출구 도보1분 / 유동 가장 많은 5거리 코너 1층 식당(원문)</t>
  </si>
  <si>
    <t>1층홍곱창</t>
    <phoneticPr fontId="3" type="noConversion"/>
  </si>
  <si>
    <t>권리금 카톡문의(원문) / 본사 직영 / 대로변 가시성 좋음 / 먹자상권 / 권리금 적극 협의(원문)</t>
    <phoneticPr fontId="3" type="noConversion"/>
  </si>
  <si>
    <t>1층 유승도 부자낙지</t>
    <phoneticPr fontId="3" type="noConversion"/>
  </si>
  <si>
    <t>층수/상호</t>
  </si>
  <si>
    <t>인천광역시 남동구 만수동 956-6</t>
  </si>
  <si>
    <t>주차 매우 좋음 / 고깃집 추천</t>
  </si>
  <si>
    <t>인천광역시 남동구 만수동 916-5</t>
  </si>
  <si>
    <t>1층(마트운영)</t>
  </si>
  <si>
    <t>대로변 가시성 매우좋음 / 고깃집·일식집 추천 / 12월31일까지 영업</t>
  </si>
  <si>
    <t>경기도 광명시 철산동 439</t>
  </si>
  <si>
    <t>2층(힘센한우)</t>
  </si>
  <si>
    <t>철산역 먹자 메인 상권 / 가시성 매우 좋음 / 주변 공영주차장 좋음</t>
  </si>
  <si>
    <t>인천서구검단로779</t>
  </si>
  <si>
    <t>1층(국가대표)</t>
  </si>
  <si>
    <t>대로변 / 주차 가능</t>
  </si>
  <si>
    <t>경기도 안산시 단원구 선부동 1076-7</t>
  </si>
  <si>
    <t>1층 코너 / 노출 최상 / 유동인구 항상 많은 곳</t>
  </si>
  <si>
    <t>경기도 시흥시 정왕동 1737-12</t>
  </si>
  <si>
    <t>2층(돈돈정)</t>
  </si>
  <si>
    <t>정왕동 먹자 메인초입 / 코너 / 가시성·유동인구 매우 좋음 (월세 VAT포함)</t>
  </si>
  <si>
    <t>경기도 안산시 단원구 선부동 1076-6</t>
  </si>
  <si>
    <t>1층(휴대폰매장)</t>
  </si>
  <si>
    <t>경기도 안산시 단원구 선부동 1082</t>
  </si>
  <si>
    <t>1층(가마솥)</t>
  </si>
  <si>
    <t>1층(강한만두)</t>
  </si>
  <si>
    <t>경기도 안산시 단원구 고잔동 706-1</t>
  </si>
  <si>
    <t>1층(설화)</t>
  </si>
  <si>
    <t>대로변 스타벅스 옆건물 / 버스정류장 앞 가시성 좋음 / 신안산선 유입 시 유동 증가</t>
  </si>
  <si>
    <t>경기도 안산시 단원구 선부동 1076-17</t>
  </si>
  <si>
    <t>1층(양꽃이피는밤)</t>
  </si>
  <si>
    <t>경기도 안산시 단원구 선부동 1070-18</t>
  </si>
  <si>
    <t>2층 같은 복층시설 / 보기 드문 대형평수</t>
  </si>
  <si>
    <t>경기도 용인시 수지구 죽전동 548-7</t>
  </si>
  <si>
    <t>1층(용인순대국)</t>
  </si>
  <si>
    <t>인천광역시 서구 가좌동 114-86</t>
  </si>
  <si>
    <t>1층(탐라 뒷고기)</t>
  </si>
  <si>
    <t>대로변 코너 매장 / 가시성 좋음</t>
  </si>
  <si>
    <t>경기도 안산시 단원구 선부동 1071-9</t>
  </si>
  <si>
    <t>1층(미락)</t>
  </si>
  <si>
    <t>1층(백봉)</t>
  </si>
  <si>
    <t>권리 조정가능</t>
  </si>
  <si>
    <t>경기도 시흥시 은행동 645-5</t>
  </si>
  <si>
    <t>2층(공실)</t>
  </si>
  <si>
    <t>경기도 시흥시 은행동 646-9</t>
  </si>
  <si>
    <t>1층(고기원칙)</t>
  </si>
  <si>
    <t>경기도 시흥시 은행동 646-10</t>
  </si>
  <si>
    <t>월세 조정가능</t>
  </si>
  <si>
    <t>경기도 시흥시 은행동 646-4</t>
  </si>
  <si>
    <t>1층(공실/구 청담동샤브샤브)</t>
  </si>
  <si>
    <t>철거되어있음</t>
  </si>
  <si>
    <t>1층(이구역낙곱새)</t>
  </si>
  <si>
    <t>시설 사용 가능 / 철거 원하면 철거해줌</t>
  </si>
  <si>
    <t>경기도 수원시 권선구 탑동 620-1</t>
  </si>
  <si>
    <t>1층(무봉리순대국)</t>
  </si>
  <si>
    <t>경기도 시흥시 배곧동 194-2</t>
  </si>
  <si>
    <t>1층(곱창이야기)</t>
  </si>
  <si>
    <t>배곧 먹자라인 내 유동인</t>
  </si>
  <si>
    <t>서울 동대문구 청량리동 235-4</t>
  </si>
  <si>
    <t>인천 남동구 만수동 884-9</t>
  </si>
  <si>
    <t>1층 옛날 막창</t>
  </si>
  <si>
    <t>24평+</t>
  </si>
  <si>
    <t>뒷공간 좋음 / 만수역 대로변 가시성 좋음 / 코너매장 / 유동·상주인구 좋음 / 테이블 15개</t>
  </si>
  <si>
    <t>서울 동대문구 이문동 255-256</t>
  </si>
  <si>
    <t>22평</t>
  </si>
  <si>
    <t>신규 대단지 아파트 정면 대로변 / 1층 코너상가</t>
  </si>
  <si>
    <t>42평</t>
  </si>
  <si>
    <t>서울 동대문구 이문동 257-42</t>
  </si>
  <si>
    <t>12.5평</t>
  </si>
  <si>
    <t>메인 대로변 단지내상가 / 1층 / 렌트프리 조율가능</t>
  </si>
  <si>
    <t>인천 남동구 만수동 981</t>
  </si>
  <si>
    <t>1층 오백년 정육식당</t>
  </si>
  <si>
    <t>만수동 먹자상권 / 코너건물 코너매장</t>
  </si>
  <si>
    <t>서울 동대문구 이문동 305-6</t>
  </si>
  <si>
    <t>외대 먹자골목 메인 코너 / 성업중 / 대단지 7,000세대 아파트 입주예정</t>
  </si>
  <si>
    <t>서울 강동구 암사동 504-26</t>
  </si>
  <si>
    <t>1층 팔각도</t>
  </si>
  <si>
    <t>34평+5평</t>
  </si>
  <si>
    <t>대로변 / 역세권 / 시설완비 / 주차 가능</t>
  </si>
  <si>
    <t>서울 동대문구 이문동 257-17</t>
  </si>
  <si>
    <t>주인이 음식점 불가 고수(원문) / 변경 가능성</t>
  </si>
  <si>
    <t>서울 동대문구 이문동 263-10</t>
  </si>
  <si>
    <t>66평</t>
  </si>
  <si>
    <t>51평</t>
  </si>
  <si>
    <t>1층 동원정</t>
  </si>
  <si>
    <t>20평+(뒷공간10평) 실사용30평</t>
  </si>
  <si>
    <t>청량리 대로변 메인 / 월세 1,000 조율 / 권리 15,000 조율</t>
  </si>
  <si>
    <t>서울 동대문구 이문동 363-5</t>
  </si>
  <si>
    <t>1층 돈수백</t>
  </si>
  <si>
    <t>1년 후 월세 500 조정(원문)</t>
  </si>
  <si>
    <t>서울 동대문구 휘경동 264-1</t>
  </si>
  <si>
    <t>1층 배비장 숯불갈비</t>
  </si>
  <si>
    <t>부가세 별도(원문) / 권리 조정가능 / 뒤 유료주차장 / 국밥집 계약 진행(원문) / 대로변 가시성 매우 좋음</t>
  </si>
  <si>
    <t>서울 중랑구 면목동 496-15</t>
  </si>
  <si>
    <t>1~2층 더리터</t>
  </si>
  <si>
    <t>22.29평</t>
  </si>
  <si>
    <t>내부계단 연층사용 / 위반사항 해제 후 진행(원문) / 사가정초역세권 / 즉시입주 / 엘베O</t>
  </si>
  <si>
    <t>서울 중랑구 면목동 496-17</t>
  </si>
  <si>
    <t>지하1층~2층 -</t>
  </si>
  <si>
    <t>약62평</t>
  </si>
  <si>
    <t>사가정역 건물 통임대 / 유동성 매우 많음 / 노출 좋음 / 대형 프랜차이즈 추천(원문)</t>
  </si>
  <si>
    <t>서울 중랑구 면목동 604-41</t>
  </si>
  <si>
    <t>1층 권참치</t>
  </si>
  <si>
    <t>약40평</t>
  </si>
  <si>
    <t>사가정역세권 / 횡단보도 코너 / 유동·가시성 최상급 / 주차 가능</t>
  </si>
  <si>
    <t>경기 시흥시 배곧동 218</t>
  </si>
  <si>
    <t>임대료 조율가능</t>
  </si>
  <si>
    <t>경기 수원시 영통구 영통동 975-10</t>
  </si>
  <si>
    <t>1층 삼도숙</t>
  </si>
  <si>
    <t>17.9평</t>
  </si>
  <si>
    <t>평수는 작지만 위치 좋음 / 무권리(원문)</t>
  </si>
  <si>
    <t>경기 안산시 상록구 건건동 536-40</t>
  </si>
  <si>
    <t>1층 공실(구 안경점)</t>
  </si>
  <si>
    <t>경기 안산시 상록구 건건동 530-2</t>
  </si>
  <si>
    <t>1층 가장맛있는족발</t>
  </si>
  <si>
    <t>경기 안양시 동안구 관양동 1725-1</t>
  </si>
  <si>
    <t>동편마을 유동 많은 A급요지 / 무권리 / 코너상가</t>
  </si>
  <si>
    <t>서울 관악구 남현동 1060-2</t>
  </si>
  <si>
    <t>1층 핫썬치킨</t>
  </si>
  <si>
    <t>28.98평</t>
  </si>
  <si>
    <t>사당역 5번출구 1분 / 광역버스 정류장 앞 / 메인거리 코너 / 간판노출 우수</t>
  </si>
  <si>
    <t>서울 관악구 봉천동 1688-124</t>
  </si>
  <si>
    <t>올리모델링 중 / 2026년 1월쯤 완공예정(원문) / 낙성대 8번출구쪽 대로변 / 주차 가능</t>
  </si>
  <si>
    <t>서울 동대문구 왕산로 215-1</t>
    <phoneticPr fontId="3" type="noConversion"/>
  </si>
  <si>
    <t>서울 중랑구 상봉동 102</t>
  </si>
  <si>
    <t>1층 102호·103호</t>
  </si>
  <si>
    <t>전체45평(26+19)</t>
  </si>
  <si>
    <t>102호 5,000/350 + 103호 5,000/250 / 권리 1억+ 형성된 곳인데 무권리(원문) / 점심·저녁 장사 잘됨(원문)</t>
  </si>
  <si>
    <t>서울 중랑구 상봉동 130</t>
  </si>
  <si>
    <t>1층 마포고깃간</t>
  </si>
  <si>
    <t>서울 중랑구 상봉동 121-72</t>
  </si>
  <si>
    <t>서울 중랑구 면목동 50-47</t>
  </si>
  <si>
    <t>1층 컬투치킨앤포차</t>
  </si>
  <si>
    <t>서울 중랑구 묵동 176-14</t>
  </si>
  <si>
    <t>1층 박가네</t>
  </si>
  <si>
    <t>서울 광진구 군자동 472-1</t>
  </si>
  <si>
    <t>1층 세꼬시마을</t>
  </si>
  <si>
    <t>서울 중랑구 묵동 171-4</t>
  </si>
  <si>
    <t>서울 서초구 서초동 1443-33</t>
  </si>
  <si>
    <t>냄새나는 음식점 불가(원문)</t>
  </si>
  <si>
    <t>서울 서초구 서초동 1443-11</t>
  </si>
  <si>
    <t>1층 북창동순두부</t>
  </si>
  <si>
    <t>남부터미널 대로변 / 주차 편한 1층 단독상가(원문)</t>
  </si>
  <si>
    <t>서울 강남구 개포동 1228-4</t>
  </si>
  <si>
    <t>1층 김명자낙지마당</t>
  </si>
  <si>
    <t>권리 조율가능(원문)</t>
  </si>
  <si>
    <t>서울 서초구 서초동 1342-4</t>
  </si>
  <si>
    <t>관리비 X(원문) / 2층 한의원 입점 / 1층 돈까스집 공사중(원문)</t>
  </si>
  <si>
    <t>서울 강남구 도곡동 953-1</t>
  </si>
  <si>
    <t>무료주차 2대 / 내방객 주차 가능(원문)</t>
  </si>
  <si>
    <t>서울 용산구 동자동 43-52</t>
  </si>
  <si>
    <t>1층 치킨뱅이</t>
  </si>
  <si>
    <t>서울역 대로변(원문)</t>
  </si>
  <si>
    <t>12월25일</t>
    <phoneticPr fontId="3" type="noConversion"/>
  </si>
  <si>
    <t>인천 연수구 연수동 605-3</t>
  </si>
  <si>
    <t>1층 노랑통닭</t>
  </si>
  <si>
    <t>주방뒤 서비스공간 있음 / 부가세 없음(간이) / 월세에 수도세 포함</t>
  </si>
  <si>
    <t>인천 연수구 연수동 605-2</t>
  </si>
  <si>
    <t>1층 포차천국</t>
  </si>
  <si>
    <t>35.8평</t>
  </si>
  <si>
    <t>부가세 없음</t>
  </si>
  <si>
    <t>인천 연수구 연수동 604-13</t>
  </si>
  <si>
    <t>권리금 1억5천→1억으로 내려온 상태(원문) / 연수동 먹자 핵심라인 / 새벽 유동 많음 / 진시황감자탕 앞</t>
  </si>
  <si>
    <t>인천 연수구 연수동 598-12</t>
  </si>
  <si>
    <t>1층 명동 한식 뷔페</t>
  </si>
  <si>
    <t>임대료 별도(원문) / 연수구 먹자 메인상권 / 평수 좋음</t>
  </si>
  <si>
    <t>인천 연수구 송도동 3-2</t>
  </si>
  <si>
    <t>1층 동강해물탕</t>
  </si>
  <si>
    <t>임대료 변동가능(원문) / 대로변 가시성 매우좋음(원문) / 대형 오피스 건물</t>
  </si>
  <si>
    <t>인천 연수구 송도동 21-34</t>
  </si>
  <si>
    <t>1층 명월 등갈비</t>
  </si>
  <si>
    <t>임대료 별도(원문) / 고깃집 시설 매우 잘되어 있음</t>
  </si>
  <si>
    <t>인천 연수구 연수동 605-1</t>
  </si>
  <si>
    <t>1층 역전할머니맥주</t>
  </si>
  <si>
    <t>양도양수만 가능(원문)</t>
  </si>
  <si>
    <t>펀비어킹</t>
    <phoneticPr fontId="3" type="noConversion"/>
  </si>
  <si>
    <t>서울 송파구 가락동 123-7</t>
  </si>
  <si>
    <t>지하1층 -</t>
  </si>
  <si>
    <t>89.4평</t>
  </si>
  <si>
    <t>경찰병원역 4번출구 바로앞 / 지하1층이나 도로에서 계단진입+썬큰 커서 노출(원문) / 스시·베이커리카페 추천</t>
  </si>
  <si>
    <t>경기 부천시 원미구 역곡동 80-2</t>
  </si>
  <si>
    <t>1층 (현 우리은행)</t>
  </si>
  <si>
    <t>90평</t>
  </si>
  <si>
    <t>1층 주차 5대 가능 / 임대료·주차 감당 가능한 업종 추천(원문)</t>
  </si>
  <si>
    <t>서울 동작구 상도동 32-40</t>
  </si>
  <si>
    <t>대로변 / 가시성 좋음 / 전면부 넓음</t>
  </si>
  <si>
    <t>서울 동작구 상도동 159-26</t>
  </si>
  <si>
    <t>1층 교촌치킨</t>
  </si>
  <si>
    <t>상도역 1번출구 / 상도로 대로변 / 중앙하이츠빌 아파트 입구 앞</t>
  </si>
  <si>
    <t>서울 광진구 자양동 779-6</t>
  </si>
  <si>
    <t>1층 한우88</t>
  </si>
  <si>
    <t>70평</t>
  </si>
  <si>
    <t>자양사거리 대로변 / 유동 많음 / 주차 편리</t>
  </si>
  <si>
    <t>서울 서대문구 남가좌동 293-85</t>
  </si>
  <si>
    <t>10평</t>
  </si>
  <si>
    <t>초역세권 A급(원문) / 옆칸 10평 약국 입점(원문) / 카페 추천</t>
  </si>
  <si>
    <t>경기 용인시 처인구 역북동 504-13</t>
  </si>
  <si>
    <t>이마트 라인 / 스타벅스 건물 테라스 상가</t>
  </si>
  <si>
    <t>경기 용인시 처인구 역북동 570-2</t>
  </si>
  <si>
    <t>1층 강릉장칼</t>
  </si>
  <si>
    <t>31.81평</t>
  </si>
  <si>
    <t>대로변 1층 독채 / 넓은 주차장 / 시설설비 최상 / 권리 조율가능</t>
  </si>
  <si>
    <t>경기 부천시 소사구 괴안동 111-41</t>
  </si>
  <si>
    <t>1층 수작카츠</t>
  </si>
  <si>
    <t>역곡역 남부 대로변 / 코너건물 코너매장 / 가시성 좋음</t>
  </si>
  <si>
    <t>경기 용인시 기흥구 보라동 578-4</t>
  </si>
  <si>
    <t>1층 직화쭈꾸미</t>
  </si>
  <si>
    <t>65평</t>
  </si>
  <si>
    <t>보라동 중심상업지역 귀한 대형평수(원문)</t>
  </si>
  <si>
    <t>경기 부천시 소사구 범박동 208-1</t>
  </si>
  <si>
    <t>1층 락빈 칼국수</t>
  </si>
  <si>
    <t>주차 6대 가능 / 대로변 가시성 좋음</t>
  </si>
  <si>
    <t>경기 용인시 처인구 역북동 723-5</t>
  </si>
  <si>
    <t>1층 대복칼국수</t>
  </si>
  <si>
    <t>경기 용인시 처인구 역북동 749</t>
  </si>
  <si>
    <t>1층 공실+칼국수마을</t>
  </si>
  <si>
    <t>점심·저녁 장사 잘됨(원문) / 한칸 이용가능(15평 4,000/250)</t>
  </si>
  <si>
    <t>경기 용인시 처인구 역북동 752</t>
  </si>
  <si>
    <t>경기 용인시 처인구 역북동 754-1</t>
  </si>
  <si>
    <t>1월 만기(원문) / 두칸 한주인: 2칸 사용시 24평 6,000/380</t>
  </si>
  <si>
    <t>경기 용인시 처인구 역북동 750-2</t>
  </si>
  <si>
    <t>경기 용인시 처인구 역북동 748-2</t>
  </si>
  <si>
    <t>인천 연수구 연수동 596-6</t>
  </si>
  <si>
    <t>1층 공실(구 죠스)</t>
  </si>
  <si>
    <t>마이웨이 상권 / 대로변 가시성 좋음 / 술집 상권 / 분식 추천</t>
  </si>
  <si>
    <t>경기 부천시 원미구 역곡동 78-7</t>
  </si>
  <si>
    <t>1층 하노이 맥주 밤거리</t>
  </si>
  <si>
    <t>야장 6평 가능(원문) / 술집 라인 / 주차 가능(원문, 일부 잘림)</t>
  </si>
  <si>
    <t>경기 용인시 기흥구 보라동 576</t>
  </si>
  <si>
    <t>보라동 먹자 메인 / 시설 매우 좋음(원문)</t>
  </si>
  <si>
    <t>1층 팔각도</t>
    <phoneticPr fontId="3" type="noConversion"/>
  </si>
  <si>
    <t>사진</t>
  </si>
  <si>
    <t>경기 용인시 기흥구 한보라2로 5-9</t>
  </si>
  <si>
    <t>1층 봉급날</t>
  </si>
  <si>
    <t>평당 4,000원</t>
  </si>
  <si>
    <t>대로변 / 이면 간판 잘 보임 / 무권리</t>
  </si>
  <si>
    <t>사진1</t>
  </si>
  <si>
    <t>경기 용인시 기흥구 보라동 587-2</t>
  </si>
  <si>
    <t>주차 가능 / 대형 평수 / 음식점 시설</t>
  </si>
  <si>
    <t>경기 용인시 처인구 역북동 723-1</t>
  </si>
  <si>
    <t>대로변 가시성 좋음 / 커피 가능 / 음식점 불가</t>
  </si>
  <si>
    <t>사진2</t>
  </si>
  <si>
    <t>경기 용인시 처인구 역북동 754</t>
  </si>
  <si>
    <t>고깃집 시설 완비 / 먹자 메인 상권</t>
  </si>
  <si>
    <t>경기 용인시 처인구 역북동 750-1</t>
  </si>
  <si>
    <t>1층 고기촌(107~108호)</t>
  </si>
  <si>
    <t>27.96평</t>
  </si>
  <si>
    <t>경기 용인시 처인구 역북동 763-7</t>
  </si>
  <si>
    <t>인천 연수구 연수동 601-16</t>
  </si>
  <si>
    <t>1층 한우소머리 전문</t>
  </si>
  <si>
    <t>33평</t>
  </si>
  <si>
    <t>사진3</t>
  </si>
  <si>
    <t>경기 용인시 기흥구 보라동 607</t>
  </si>
  <si>
    <t>대로변 / 학교·주거 밀집 상권 / 가시성 매우 좋음</t>
  </si>
  <si>
    <t>80평</t>
  </si>
  <si>
    <t>대로변에서 보면 2층 / 후면에서 보면 1층 / 주차시설 매우 좋음</t>
  </si>
  <si>
    <t>경기 용인시 기흥구 보라동 579-2</t>
  </si>
  <si>
    <t>68평</t>
  </si>
  <si>
    <t>보라동 상권중 메인 / 대형 평수</t>
  </si>
  <si>
    <t>1층 제줏간</t>
    <phoneticPr fontId="3" type="noConversion"/>
  </si>
  <si>
    <t>1층 구)케이티 자리</t>
    <phoneticPr fontId="3" type="noConversion"/>
  </si>
  <si>
    <t>1층 다이닝 펍</t>
    <phoneticPr fontId="3" type="noConversion"/>
  </si>
  <si>
    <t>1층 진안집(감자탕 )</t>
    <phoneticPr fontId="3" type="noConversion"/>
  </si>
  <si>
    <t>1층 하모니 마트</t>
    <phoneticPr fontId="3" type="noConversion"/>
  </si>
  <si>
    <t>성동구 성수동2가 314-13</t>
  </si>
  <si>
    <t>1층 양장점</t>
  </si>
  <si>
    <t>성동구 성수동1가 656-98</t>
  </si>
  <si>
    <t>1층 요거커피</t>
  </si>
  <si>
    <t>오피스상권 인접 / 임대료·권리 저렴</t>
  </si>
  <si>
    <t>처인구 역북동 752</t>
  </si>
  <si>
    <t>1층 경성식당연탄구이</t>
  </si>
  <si>
    <t>서초구 서초동 1659-18</t>
  </si>
  <si>
    <t>1층 백채김치찌개</t>
  </si>
  <si>
    <t>동안구 관양동 1506-22</t>
  </si>
  <si>
    <t>1층 태봉감자탕</t>
  </si>
  <si>
    <t>동안구 관양동 1506-26</t>
  </si>
  <si>
    <t>1층 두물머리양평해장국</t>
  </si>
  <si>
    <t>수정구 신흥동 3436-11</t>
  </si>
  <si>
    <t>1층 명륜진사갈비</t>
  </si>
  <si>
    <t>구 성남시청 / 이마트 상권</t>
  </si>
  <si>
    <t>의왕시 삼동 146-81</t>
  </si>
  <si>
    <t>1층 굴다리돼지갈비</t>
  </si>
  <si>
    <t>장사 잘됨 / 건강 문제로 매각</t>
  </si>
  <si>
    <t>의왕시 삼동 192-12</t>
  </si>
  <si>
    <t>의왕시 삼동 192-38</t>
  </si>
  <si>
    <t>1층 인쌩맥주</t>
  </si>
  <si>
    <t>4,000(조정가능)</t>
  </si>
  <si>
    <t>의왕시 삼동 199-8</t>
  </si>
  <si>
    <t>서울 관악구 봉천동 899-17</t>
  </si>
  <si>
    <t>1층 여우산장</t>
  </si>
  <si>
    <t>봉천동 현대시장 사거리 대로변 / 이자카야</t>
  </si>
  <si>
    <t>서울 서초구 서초동 1718-5</t>
  </si>
  <si>
    <t>1층 아이나비</t>
  </si>
  <si>
    <t>교대역 도보 3분 / 도시가스 안됨</t>
  </si>
  <si>
    <t>서울 강남구 도곡동 952-9</t>
  </si>
  <si>
    <t>양재역·신분당선 더블역세권 / 가능업종: 카페·버거(음식점 불가)</t>
  </si>
  <si>
    <t>서울 서초구 서초동 1341-5</t>
  </si>
  <si>
    <t>1층 담소 소사골순대육개장</t>
  </si>
  <si>
    <t>관리비 실비 / 주차(자주식 6~10대) / 화장실 내부 남·여 / 노출·가시성 우수 / 신규계약시 보증·임대료 인상 가능(보증 1~2천, 월세 50~100)</t>
  </si>
  <si>
    <t>서울 서초구 서초동 1672-6</t>
  </si>
  <si>
    <t>프랜차이즈 카페 가능</t>
  </si>
  <si>
    <t>서울 서초구 서초동 1576-3</t>
  </si>
  <si>
    <t>약20</t>
  </si>
  <si>
    <t>권리 25,000 → 15,000 하향 / 교대역 초역세권 / 오피스상권 중심</t>
  </si>
  <si>
    <t>서울 서초구 양재동 354-10</t>
  </si>
  <si>
    <t>서울 서초구 서초동 1577-7</t>
  </si>
  <si>
    <t>교대역 14번출구 대로변 / 음식점·카페 가능</t>
  </si>
  <si>
    <t>서울 서초구 서초동 1576-7</t>
  </si>
  <si>
    <t>렌트프리 2달 가능 / 장기 6~10개월 내 월세 조율 예정</t>
  </si>
  <si>
    <t>1층~2층 공실</t>
  </si>
  <si>
    <t>연층 사용 시 출입구 분리 / 2층 29평 / 카페·대형프랜차이즈 버거 추천</t>
  </si>
  <si>
    <t>서울 은평구 응암동 90-22</t>
  </si>
  <si>
    <t>경기 하남시 풍산동 518</t>
  </si>
  <si>
    <t>렌트프리 가능 / 2년 계약 시 1년 월세 50% 할인(4,000/355)</t>
  </si>
  <si>
    <t>경기 하남시 풍산동 551-9</t>
  </si>
  <si>
    <t>렌트프리 협의 가능</t>
  </si>
  <si>
    <t>경기 하남시 망월동 972</t>
  </si>
  <si>
    <t>1층 마장동</t>
  </si>
  <si>
    <t>약41</t>
  </si>
  <si>
    <t>경기 하남시 망월동 976</t>
  </si>
  <si>
    <t>약35</t>
  </si>
  <si>
    <t>렌트프리 가능 / 10~35평 분할 가능</t>
  </si>
  <si>
    <t>경기 안양시 동안구 평촌동 921-7</t>
  </si>
  <si>
    <t>1층 강릉집</t>
  </si>
  <si>
    <t>30+5</t>
  </si>
  <si>
    <t>평촌 학원가 먹자 메인 / 주방 면적 좋음</t>
  </si>
  <si>
    <t>경기 안양시 동안구 평촌동 924-8</t>
  </si>
  <si>
    <t>1층 칼국수</t>
  </si>
  <si>
    <t>평촌 먹자 메인 / 코너</t>
  </si>
  <si>
    <t>60+α</t>
  </si>
  <si>
    <t>당정역·당동 초입 대로변 / 주차 16대 / 010-9113-3540</t>
  </si>
  <si>
    <t>경기 군포시 평촌동 904-2</t>
  </si>
  <si>
    <t>주차 좋음 / 평촌 먹자 메인상권</t>
  </si>
  <si>
    <t>네이버지도</t>
  </si>
  <si>
    <t>상호</t>
  </si>
  <si>
    <t>안양시 동안구 비산동 1059</t>
  </si>
  <si>
    <t>짬뽕타운</t>
  </si>
  <si>
    <t>조건 맞을 시 권리 조정 가능</t>
  </si>
  <si>
    <t>용인시 처인구 김량장동 345-3</t>
  </si>
  <si>
    <t>용인시 처인구 김량장동 140-24</t>
  </si>
  <si>
    <t>휴대폰백화점</t>
  </si>
  <si>
    <t>권리 조율 가능</t>
  </si>
  <si>
    <t>용인시 처인구 남동 27-2</t>
  </si>
  <si>
    <t>약72</t>
  </si>
  <si>
    <t>3칸 사용 시 4,000/220 (1칸 12평)</t>
  </si>
  <si>
    <t>용인시 처인구 김량장동 254-370</t>
  </si>
  <si>
    <t>일품 양평해장국</t>
  </si>
  <si>
    <t>시설 깨끗(대형에어컨 포함) / 시설비 협의 / 5일장·중앙시장 인근 / 유동 많음 / 주차 가능</t>
  </si>
  <si>
    <t>용인시 처인구 김량장동 314-7</t>
  </si>
  <si>
    <t>1,000~2,000</t>
  </si>
  <si>
    <t>유동 많은 번화가 / 대로변 1층 코너</t>
  </si>
  <si>
    <t>경기 시흥시 장현동 545-4</t>
  </si>
  <si>
    <t>기아자동차서비스</t>
  </si>
  <si>
    <t>주차 시설 매우 좋음 / 렌트프리 / 시흥시청 점심 수요 / 상주인구 안정</t>
  </si>
  <si>
    <t>경기 하남시 망월동 1119-1</t>
  </si>
  <si>
    <t>경기 하남시 망월동 1121</t>
  </si>
  <si>
    <t>경기 하남시 망월동 1134-2</t>
  </si>
  <si>
    <t>경기 시흥시 장현동 544-5</t>
  </si>
  <si>
    <t>김가네 낙지</t>
  </si>
  <si>
    <t>시흥시청 먹자상권 / 토·일 휴무(안산 가게 운영) / 8년 운영 / 주차장 매우 좋음</t>
  </si>
  <si>
    <t>경기 시흥시 장곡동 811-7</t>
  </si>
  <si>
    <t>고기에 진심</t>
  </si>
  <si>
    <t>장곡동 먹자상권 / 가시성·접근성 좋음 / 고깃집 시설완비</t>
  </si>
  <si>
    <t>서울 송파구 문정동 644-2</t>
  </si>
  <si>
    <t>돈돈번</t>
  </si>
  <si>
    <t>문정 현대지식산업센터 상가</t>
  </si>
  <si>
    <t>서울 송파구 거여동 21-11</t>
  </si>
  <si>
    <t>음식점 가능</t>
  </si>
  <si>
    <t>경기 시흥시 장현동 530-5</t>
  </si>
  <si>
    <t>만리 장성</t>
  </si>
  <si>
    <t>시흥시청역 먹자상권 / 임대료·월세 저렴</t>
  </si>
  <si>
    <t>안양시 동안구 비산동 570-4</t>
  </si>
  <si>
    <t>안양시 만안구 안양동 194-18</t>
  </si>
  <si>
    <t>최근 건물 리모델링 완료 / 층고 3.5m / 덕천마을 메인상권</t>
  </si>
  <si>
    <t>예송</t>
    <phoneticPr fontId="3" type="noConversion"/>
  </si>
  <si>
    <t>1층 더담 한우</t>
    <phoneticPr fontId="3" type="noConversion"/>
  </si>
  <si>
    <t>구)기아자동차서비스</t>
    <phoneticPr fontId="3" type="noConversion"/>
  </si>
  <si>
    <t>1층*공실</t>
    <phoneticPr fontId="3" type="noConversion"/>
  </si>
  <si>
    <t>위치(주소)</t>
  </si>
  <si>
    <t>안양시 동안구 비산동 1032-13</t>
  </si>
  <si>
    <t>링크</t>
  </si>
  <si>
    <t>운동장 해장국</t>
  </si>
  <si>
    <t>대로변 가시성 매우 좋음 / 안양운동장 상권 / 인테리어 좋음 / 뒷문·뒷공간 사용</t>
  </si>
  <si>
    <t>무권리 급매물</t>
  </si>
  <si>
    <t>1층 105호 공실</t>
  </si>
  <si>
    <t>신축 / 렌트프리 6개월 / 버스정류장 앞 코너 / 국밥·중식 추천 / 2027년 1월 지하철역 개통(도보 2분 내) / 2026년 1월 디센트로 오피스텔 1·2차 입주</t>
  </si>
  <si>
    <t>과천시 갈현동 427-1</t>
  </si>
  <si>
    <t>안양시 만안구 안양동 491-5</t>
  </si>
  <si>
    <t>춘천 닭갈비 막국수</t>
  </si>
  <si>
    <t>대로변 / 주변 사무실 많음 / 시설완비</t>
  </si>
  <si>
    <t>송파구 거여동 21-5</t>
  </si>
  <si>
    <t>정일돈</t>
  </si>
  <si>
    <t>대로변 전면 노출 최상 / 주차가능</t>
  </si>
  <si>
    <t>구로구 구로동 1125-10</t>
  </si>
  <si>
    <t>우정수육</t>
  </si>
  <si>
    <t>구로디지털단지 ‘깔깔’ 최고 입지</t>
  </si>
  <si>
    <t>구로구 구로동 1126-10</t>
  </si>
  <si>
    <t>속초붉은대게</t>
  </si>
  <si>
    <t>2층 30평 서비스면적</t>
  </si>
  <si>
    <t>구로구 구로동 1124-15</t>
  </si>
  <si>
    <t>둘둘치킨</t>
  </si>
  <si>
    <t>구로구 구로동 187-10</t>
  </si>
  <si>
    <t>라무진</t>
  </si>
  <si>
    <t>강창구찹쌀진순대</t>
  </si>
  <si>
    <t>구로구 구로동 1124-95</t>
  </si>
  <si>
    <t>금돈집</t>
  </si>
  <si>
    <t>구로구 구로동 1124-83</t>
  </si>
  <si>
    <t>라운지목화</t>
  </si>
  <si>
    <t>구로구 구로동 1124-57</t>
  </si>
  <si>
    <t>롱타임노씨</t>
  </si>
  <si>
    <t>구로구 구로동 1129-1</t>
  </si>
  <si>
    <t>니와스시</t>
  </si>
  <si>
    <t>영등포구 영등포동3가 3-14</t>
  </si>
  <si>
    <t>20 (1·2층 각10)</t>
  </si>
  <si>
    <t>내부계단 연층상가 / 영등포역·영등포시장역 도보 5~8분 / 음식점·포차 추천</t>
  </si>
  <si>
    <t>영등포구 영등포동3가 13</t>
  </si>
  <si>
    <t>한국밥</t>
  </si>
  <si>
    <t>영등포구 영등포동3가 16-2</t>
  </si>
  <si>
    <t>명륜진사갈비</t>
  </si>
  <si>
    <t>영등포구 영등포동3가 14-2</t>
  </si>
  <si>
    <t>솥돈</t>
  </si>
  <si>
    <t>직사각형 구조</t>
  </si>
  <si>
    <t>서울특별시 강남구 역삼동 840-8</t>
  </si>
  <si>
    <t>주차 가능 / 도곡로 대로변 / 음식점 가능 / 분할가능</t>
  </si>
  <si>
    <t>주인 희망: 7,000/450 / 권리 10,000까지 조율가능</t>
  </si>
  <si>
    <t>링크</t>
    <phoneticPr fontId="3" type="noConversion"/>
  </si>
  <si>
    <t>별빛마차</t>
    <phoneticPr fontId="3" type="noConversion"/>
  </si>
  <si>
    <t xml:space="preserve">구로구 구로동 187-4 </t>
    <phoneticPr fontId="3" type="noConversion"/>
  </si>
  <si>
    <t>과천시 갈현동 319-1아이플렉스</t>
    <phoneticPr fontId="3" type="noConversion"/>
  </si>
  <si>
    <t>-</t>
    <phoneticPr fontId="3" type="noConversion"/>
  </si>
  <si>
    <t>층</t>
  </si>
  <si>
    <t>전용(평)</t>
  </si>
  <si>
    <t>월세</t>
  </si>
  <si>
    <t>성북구 석관동 384-23</t>
  </si>
  <si>
    <t>읏듬돈 생삼겹살</t>
  </si>
  <si>
    <t>석계역 3분 / 메인 먹자골목</t>
  </si>
  <si>
    <t>노원구 월계동 21-17</t>
  </si>
  <si>
    <t>(상호미상)</t>
  </si>
  <si>
    <t>권리 “없게 가능” 얘기 있음</t>
  </si>
  <si>
    <t>노원구 월계동 951 (월계센트럴아이파크상가)</t>
  </si>
  <si>
    <t>토박이순대국</t>
  </si>
  <si>
    <t>상가 2층</t>
  </si>
  <si>
    <t>노원구 월계동 469-3</t>
  </si>
  <si>
    <t>광운양꼬치&amp;수육순대국밥</t>
  </si>
  <si>
    <t>광운대 정문 대로변 / APT 공사수요</t>
  </si>
  <si>
    <t>강동구 천호동 456</t>
  </si>
  <si>
    <t>KT</t>
  </si>
  <si>
    <t>천호역 1분 / 유동 많음 / 전 업종</t>
  </si>
  <si>
    <t>광진구 중곡동 31-1</t>
  </si>
  <si>
    <t>교동쿡과 부동산</t>
  </si>
  <si>
    <t>강동구 길동 383-9</t>
  </si>
  <si>
    <t>로스팅</t>
  </si>
  <si>
    <t>대로변 / 코너 / 가시성 좋음</t>
  </si>
  <si>
    <t>강동구 천호동 155-7</t>
  </si>
  <si>
    <t>코너상가</t>
  </si>
  <si>
    <t>일반음식점 불가</t>
  </si>
  <si>
    <t>강동구 성내동 416</t>
  </si>
  <si>
    <t>대로변 사거리 / 둔촌동역 도보1분</t>
  </si>
  <si>
    <t>강동구 성내동 439-5</t>
  </si>
  <si>
    <t>이태원삼겹살</t>
  </si>
  <si>
    <t>먹자골목 / 30평대</t>
  </si>
  <si>
    <t>강동구 길동 411-4</t>
  </si>
  <si>
    <t>디저트39</t>
  </si>
  <si>
    <t>권리 조율 가능성 / 대로변</t>
  </si>
  <si>
    <t>강동구 길동 320-4</t>
  </si>
  <si>
    <t>고기집·중국집 제외 일반음식점 가능</t>
  </si>
  <si>
    <t>강동구 길동 389-4</t>
  </si>
  <si>
    <t>담소순대국</t>
  </si>
  <si>
    <t>권리 1억→5,000 다운 / 먹자상권</t>
  </si>
  <si>
    <t>커피다</t>
    <phoneticPr fontId="3" type="noConversion"/>
  </si>
  <si>
    <t>강동구 길동 347-12</t>
  </si>
  <si>
    <t>장위동유성집</t>
  </si>
  <si>
    <t>매장 전면주차 가능 / 건물 주차장</t>
  </si>
  <si>
    <t>강동구 성내동 413-7</t>
  </si>
  <si>
    <t>강동구 성내동 413-10</t>
  </si>
  <si>
    <t>큰맘할매순대국</t>
  </si>
  <si>
    <t>강동구 암사동 504-038</t>
  </si>
  <si>
    <t>고기파는형제</t>
  </si>
  <si>
    <t>강동구 암사동 504-023</t>
  </si>
  <si>
    <t>암사옥숯불갈비</t>
  </si>
  <si>
    <t>강동구 둔촌동 426-000</t>
  </si>
  <si>
    <t>750부대찌개</t>
  </si>
  <si>
    <t>군포시 산본동 1144-1</t>
  </si>
  <si>
    <t>유부+한솥</t>
  </si>
  <si>
    <t>군포시 산본동 1137-3</t>
  </si>
  <si>
    <t>청년다방</t>
  </si>
  <si>
    <t>구로구 구로동 1127-30</t>
  </si>
  <si>
    <t>돈우본</t>
  </si>
  <si>
    <t>강남구 삼성동 141-19</t>
  </si>
  <si>
    <t>일반음식점 불가 / 커피숍 가능</t>
  </si>
  <si>
    <t>강남구 역삼동 707-5</t>
  </si>
  <si>
    <t>음식점 불가 / 임대인 업종 예민</t>
  </si>
  <si>
    <t>영통구 영통동 1024-8</t>
  </si>
  <si>
    <t>약50</t>
  </si>
  <si>
    <t>모든업종 가능 / 경희대 맞은편 대로변 / 옆 뚜레쥬르</t>
  </si>
  <si>
    <t>강남구 대치동 936-25</t>
  </si>
  <si>
    <t>강남구 대치동 889-75</t>
  </si>
  <si>
    <t>카페 추천</t>
  </si>
  <si>
    <t>강남구 대치동 890-45</t>
  </si>
  <si>
    <t>압구정찹쌀순대</t>
  </si>
  <si>
    <t>약28</t>
  </si>
  <si>
    <t>선릉역 5분 / 주차 / 남·녀 분리 화장실 / 권리 조율</t>
  </si>
  <si>
    <t>영통구 영통동 1037-9</t>
  </si>
  <si>
    <t>팔각도</t>
  </si>
  <si>
    <t>주차 1대 / 영통역 7분 / 버스 5분 / 도로변</t>
  </si>
  <si>
    <t>영통구 영통동 1037-12</t>
  </si>
  <si>
    <t>뜨돈</t>
  </si>
  <si>
    <t>동대문구 장안동 430-3</t>
  </si>
  <si>
    <t>제주은희네해장국</t>
  </si>
  <si>
    <t>임차인 1대(기계식) / 손님 발렛(주 25만)</t>
  </si>
  <si>
    <t>영통구 영통동 975-10</t>
  </si>
  <si>
    <t>삼도숙성회</t>
  </si>
  <si>
    <t>약18</t>
  </si>
  <si>
    <t>망포역 항아리상권 / 권리無 / 유사 업종 불가</t>
  </si>
  <si>
    <t>서대문구 남가좌동 385</t>
  </si>
  <si>
    <t>대단지 대로변 / 중심상권 / 즉시영업 / 버스정류장</t>
  </si>
  <si>
    <t>마포구 상암동 33-1</t>
  </si>
  <si>
    <t>마포구 상암동 1262</t>
  </si>
  <si>
    <t>고래대패</t>
  </si>
  <si>
    <t>20 (1층10/2층10)</t>
  </si>
  <si>
    <t>마당 약7평</t>
  </si>
  <si>
    <t>2층 공실</t>
    <phoneticPr fontId="3" type="noConversion"/>
  </si>
  <si>
    <t>수원시 팔달구 매산로1가 11-14</t>
  </si>
  <si>
    <t>수원역 초역세권 코너</t>
  </si>
  <si>
    <t>수원시 팔달구 매산로1가 57-99</t>
  </si>
  <si>
    <t>수원역 9·10번 출구 사이 / 예쁜 단독건물</t>
  </si>
  <si>
    <t>수원시 장안구 영화동 282-11</t>
  </si>
  <si>
    <t>수원시 장안구 영화동 327-3</t>
  </si>
  <si>
    <t>수원시 장안구 율전동 290-43</t>
  </si>
  <si>
    <t>더까페</t>
  </si>
  <si>
    <t>경기도 수원시 팔달구 신풍동 198-4</t>
  </si>
  <si>
    <t>수원시 장안구 율전동 296-37</t>
  </si>
  <si>
    <t>대동집</t>
  </si>
  <si>
    <t>수원시 팔달구 매산로1가 16-3</t>
  </si>
  <si>
    <t>수원시 장안구 율전동 290-6</t>
  </si>
  <si>
    <t>최가네</t>
  </si>
  <si>
    <t>내부화장실 / 성균관대 학생 유동 많음</t>
  </si>
  <si>
    <t>수원시 장안구 율전동 292-8</t>
  </si>
  <si>
    <t>노랑냄비와석쇠구이집</t>
  </si>
  <si>
    <t>수원시 장안구 율전동 290-3</t>
  </si>
  <si>
    <t>신화쭈꾸미</t>
  </si>
  <si>
    <t>성균관대역 메인 사거리 / 무권리 / 복층(2층 포함)</t>
  </si>
  <si>
    <t>수원시 장안구 율전동 433-94</t>
  </si>
  <si>
    <t>구이구이쪽갈비</t>
  </si>
  <si>
    <t>성대 먹자골목</t>
  </si>
  <si>
    <t>경기도 하남시 풍산동 490</t>
  </si>
  <si>
    <t>화덕 고깃간</t>
  </si>
  <si>
    <t>주변 아파트 / 지산 상권</t>
  </si>
  <si>
    <t>수원시 장안구 율전동 294-4</t>
  </si>
  <si>
    <t>미진축산</t>
  </si>
  <si>
    <t>수원시 장안구 율전동 300</t>
  </si>
  <si>
    <t>드럼통돌구이</t>
  </si>
  <si>
    <t>수원시 장안구 율전동 297-3</t>
  </si>
  <si>
    <t>춘배아저씨</t>
  </si>
  <si>
    <t>수원시 장안구 천천동 527-9</t>
  </si>
  <si>
    <t>수원시 장안구 천천동 527-7</t>
  </si>
  <si>
    <t>고봉민김밥</t>
  </si>
  <si>
    <t>수원시 장안구 율전동 433-82</t>
  </si>
  <si>
    <t>감성</t>
  </si>
  <si>
    <t>대로변 가시성 좋음 / 소규모 카페 추천 / 도시가스 없음 / 2층 커피 계약 관련</t>
  </si>
  <si>
    <t>중심상가 코너 / 반경 1km 약 2만4천 세대</t>
  </si>
  <si>
    <t>롯데마트 부근 / 항아리상권 / 권리 협의가능</t>
  </si>
  <si>
    <t>1층(복층)</t>
  </si>
  <si>
    <t>전용면적 약 52평</t>
  </si>
  <si>
    <t>전용면적 약 35평</t>
  </si>
  <si>
    <t>1~3층 공실</t>
  </si>
  <si>
    <t>신축 / 업종우대 가능 / 대형 프렌차이즈</t>
  </si>
  <si>
    <t>경기 군포시 당동 922-28</t>
    <phoneticPr fontId="3" type="noConversion"/>
  </si>
  <si>
    <t>서초구 양재동 8-59</t>
  </si>
  <si>
    <t>삼산회관</t>
  </si>
  <si>
    <t>29평</t>
  </si>
  <si>
    <t>말죽거리 핵심 / 옥외허가·야장가능</t>
  </si>
  <si>
    <t>서초구 양재동 19-13</t>
  </si>
  <si>
    <t>서초구 서초동 1364-1</t>
  </si>
  <si>
    <t>본정</t>
  </si>
  <si>
    <t>양재역 도보 / 주차편리 / 주거+오피스</t>
  </si>
  <si>
    <t>서초구 서초동 1757-1</t>
  </si>
  <si>
    <t>그랑몰(신축)</t>
  </si>
  <si>
    <t>7평</t>
  </si>
  <si>
    <t>서초그랑자이·이마트·CGV 인접 / 카페추천</t>
  </si>
  <si>
    <t>강동구 천호동 30-16</t>
  </si>
  <si>
    <t>굽은다리역 역세권 / 유동 많은 이면</t>
  </si>
  <si>
    <t>40평</t>
  </si>
  <si>
    <t>굽은다리역 바로앞 / 무권리 / 음식점 제한</t>
  </si>
  <si>
    <t>용인시 수지구 상현동 106-8</t>
  </si>
  <si>
    <t>통큰숯불화로구이</t>
  </si>
  <si>
    <t>55평</t>
  </si>
  <si>
    <t>가시성·주차 / 아파트 배후</t>
  </si>
  <si>
    <t>강동구 천호동 454-15</t>
  </si>
  <si>
    <t>천호역 5번출구 / 모든업종 가능</t>
  </si>
  <si>
    <t>강동구 천호동 31-4</t>
  </si>
  <si>
    <t>15.73평</t>
  </si>
  <si>
    <t>강동구 천호동 34-17</t>
  </si>
  <si>
    <t>비어킹</t>
  </si>
  <si>
    <t>29.34평</t>
  </si>
  <si>
    <t>권리금 有</t>
  </si>
  <si>
    <t>서울 강동구 성내동 435-37</t>
  </si>
  <si>
    <t>필살기돈까스</t>
  </si>
  <si>
    <t>서울 강동구 성내동 464-8</t>
  </si>
  <si>
    <t>민물매운탕</t>
  </si>
  <si>
    <t>서울 강동구 성내동 434-2</t>
  </si>
  <si>
    <t>신가네분식</t>
  </si>
  <si>
    <t>서울 강동구 성내동 469</t>
  </si>
  <si>
    <t>어반</t>
  </si>
  <si>
    <t>서울 강동구 성내동 558-4</t>
  </si>
  <si>
    <t>스시</t>
  </si>
  <si>
    <t>서울 강동구 성내동 421-38</t>
  </si>
  <si>
    <t>1층·공실</t>
  </si>
  <si>
    <t>별도</t>
  </si>
  <si>
    <t>서울 구로구 구로동 182-13</t>
  </si>
  <si>
    <t>실비</t>
  </si>
  <si>
    <t>서울 마포구 용강동 116-1</t>
  </si>
  <si>
    <t>화로정감</t>
  </si>
  <si>
    <t>서울 마포구 용강동 122-12</t>
  </si>
  <si>
    <t>하루이자카야</t>
  </si>
  <si>
    <t>성남시 수정구 창곡동 539-7</t>
  </si>
  <si>
    <t>지도보기</t>
  </si>
  <si>
    <t>업종제한(카페·베이커리·양식 선호)</t>
  </si>
  <si>
    <t>송파구 거여동 562-1</t>
  </si>
  <si>
    <t>거여역 초역세권 / 고기집 불가</t>
  </si>
  <si>
    <t>강남구 논현동 88-8</t>
  </si>
  <si>
    <t>학동역 9번 출구</t>
  </si>
  <si>
    <t>강남구 삼성동 120-12</t>
  </si>
  <si>
    <t>커피스미스</t>
  </si>
  <si>
    <t>강남구 삼성동 130-9</t>
  </si>
  <si>
    <t>유라카모메</t>
  </si>
  <si>
    <t>강남구 역삼동 704-54</t>
  </si>
  <si>
    <t>보울레시피</t>
  </si>
  <si>
    <t>강남구 역삼동 831-27</t>
  </si>
  <si>
    <t>청담등심</t>
  </si>
  <si>
    <t>동작구 사당동 130-25</t>
  </si>
  <si>
    <t>농축자돌판한우</t>
  </si>
  <si>
    <t>이수역 먹자 메인</t>
  </si>
  <si>
    <t>성남시 수정구 창곡동 505</t>
  </si>
  <si>
    <t>중앙광장 전면 / 분리·통사용</t>
  </si>
  <si>
    <t>성남시 수정구 창곡동 547-10</t>
  </si>
  <si>
    <t>남위례역 / 오피스 밀집</t>
  </si>
  <si>
    <t>서초구 서초동 1544-2</t>
  </si>
  <si>
    <t>무료주차 2대</t>
  </si>
  <si>
    <t>강남구 역삼동 668-24</t>
  </si>
  <si>
    <t>박가부대찌개</t>
  </si>
  <si>
    <t>서초구 서초동 1342-7</t>
  </si>
  <si>
    <t>무료주차 4~5대</t>
  </si>
  <si>
    <t>강남구 도곡동 944-9</t>
  </si>
  <si>
    <t>뱅뱅사거리</t>
  </si>
  <si>
    <t>성남시 수정구 창곡동 549-1</t>
  </si>
  <si>
    <t>위례역 도보 7분</t>
  </si>
  <si>
    <t>지도보기</t>
    <phoneticPr fontId="3" type="noConversion"/>
  </si>
  <si>
    <t>춘향골남원추어탕 서초점</t>
  </si>
  <si>
    <t>1층 공실</t>
    <phoneticPr fontId="3" type="noConversion"/>
  </si>
  <si>
    <t>성남시 수정구 창곡동 558-10</t>
  </si>
  <si>
    <t>역전숯불갈매기</t>
  </si>
  <si>
    <t>성남시 수정구 창곡동 555-6</t>
  </si>
  <si>
    <t>교동짬뽕</t>
  </si>
  <si>
    <t>서초구 서초동 1443-11</t>
  </si>
  <si>
    <t>가게앞 주차 8대 / 현 오토운영 / 매출 우수</t>
  </si>
  <si>
    <t>성남시 수정구 창곡동 546-7</t>
  </si>
  <si>
    <t>마장동</t>
  </si>
  <si>
    <t>내부 넓고 상태 우수</t>
  </si>
  <si>
    <t>성남시 수정구 창곡동 555-11</t>
  </si>
  <si>
    <t>원복 상태</t>
  </si>
  <si>
    <t>성남시 수정구 창곡동 545-9</t>
  </si>
  <si>
    <t>보돌미역</t>
  </si>
  <si>
    <t>성남시 수정구 창곡동 555-10</t>
  </si>
  <si>
    <t>위례철물</t>
  </si>
  <si>
    <t>2년차 월세 260 / 업종제한 없음</t>
  </si>
  <si>
    <t>송파구 문정동 51-1</t>
  </si>
  <si>
    <t>산봉</t>
  </si>
  <si>
    <t>문정역 도보1분 / 주차 가능</t>
  </si>
  <si>
    <t>송파구 문정동 651 B</t>
  </si>
  <si>
    <t>B1</t>
  </si>
  <si>
    <t>남산돈까스</t>
  </si>
  <si>
    <t>테라타워 핵심상권</t>
  </si>
  <si>
    <t>송파구 문정동 651-6</t>
  </si>
  <si>
    <t>B2</t>
  </si>
  <si>
    <t>열무담다</t>
  </si>
  <si>
    <t>문정역 지하연결</t>
  </si>
  <si>
    <t>관악구 신림동 116-23</t>
  </si>
  <si>
    <t>서울대벤처타운역 대로변</t>
  </si>
  <si>
    <t>관악구 신림동 247-2</t>
  </si>
  <si>
    <t>X</t>
  </si>
  <si>
    <t>주거밀집 / 주차 2대</t>
  </si>
  <si>
    <t>관악구 신림동 241-22</t>
  </si>
  <si>
    <t>관악구 신림동 1517-1</t>
  </si>
  <si>
    <t>대학동 진입로</t>
  </si>
  <si>
    <t>관악구 신림동 118-3</t>
  </si>
  <si>
    <t>관악구 신림동 409-4</t>
  </si>
  <si>
    <t>서원역 초역세권</t>
  </si>
  <si>
    <t>서초구 서초동 1602-10</t>
  </si>
  <si>
    <t>강남짬뽕</t>
  </si>
  <si>
    <t>남부터미널 초역세권</t>
  </si>
  <si>
    <t>서초구 서초동 1626-1</t>
  </si>
  <si>
    <t>교대정문 코너</t>
  </si>
  <si>
    <t>서초구 서초동 1598-1</t>
  </si>
  <si>
    <t>요거프레소</t>
  </si>
  <si>
    <t>A급 유동</t>
  </si>
  <si>
    <t>서초구 서초동 1567-8</t>
  </si>
  <si>
    <t>원상복구 완료</t>
  </si>
  <si>
    <t>서초구 서초동 1572-9</t>
  </si>
  <si>
    <t>대독장</t>
  </si>
  <si>
    <t>교대 먹자</t>
  </si>
  <si>
    <t>인천 연수구 동춘동 934-6</t>
  </si>
  <si>
    <t>이차돌</t>
  </si>
  <si>
    <t>먹자상권</t>
  </si>
  <si>
    <t>인천 연수구 동춘동 934-2</t>
  </si>
  <si>
    <t>해장국</t>
  </si>
  <si>
    <t>임대료 저렴</t>
  </si>
  <si>
    <t>인천 연수구 연수동 569-4</t>
  </si>
  <si>
    <t>서서갈비</t>
  </si>
  <si>
    <t>연수역 초역세권</t>
  </si>
  <si>
    <t>인천 연수구 연수동 592-6</t>
  </si>
  <si>
    <t>대형 무권리</t>
  </si>
  <si>
    <t>인천 연수구 동춘동 1117-3</t>
  </si>
  <si>
    <t>내부계단 / 대형</t>
  </si>
  <si>
    <t>한식부페</t>
  </si>
  <si>
    <t>유동 매우 많음</t>
  </si>
  <si>
    <t>서초구 서초동 1557-8</t>
  </si>
  <si>
    <t>베비다</t>
  </si>
  <si>
    <t>교대 이면</t>
  </si>
  <si>
    <t>서초구 서초동 1624-9</t>
  </si>
  <si>
    <t>교대사거리</t>
  </si>
  <si>
    <t>서초구 서초동 1510-2</t>
  </si>
  <si>
    <t>업종제한 없음</t>
  </si>
  <si>
    <t>인천 연수구 송도동 23-4</t>
  </si>
  <si>
    <t>센트럴파크 무권리</t>
  </si>
  <si>
    <t>서울 구로구 개봉동 403-71</t>
  </si>
  <si>
    <t>현대자동차</t>
  </si>
  <si>
    <t>대로변 / 주차 우수 / 도시가스 없음</t>
  </si>
  <si>
    <t>서서갈비</t>
    <phoneticPr fontId="3" type="noConversion"/>
  </si>
  <si>
    <t>지도로</t>
  </si>
  <si>
    <t>경기도 광명시 하안동 322-5</t>
  </si>
  <si>
    <t>전층</t>
  </si>
  <si>
    <t>고기싸롱</t>
  </si>
  <si>
    <t>대로변 / 등산로 / 아파트·오피스 밀집</t>
  </si>
  <si>
    <t>서울 서초구 서초동 1445-4</t>
  </si>
  <si>
    <t>스페셔티까페본심을전하다</t>
  </si>
  <si>
    <t>급급매 / 역세권 대로변</t>
  </si>
  <si>
    <t>경기도 시흥시 정왕동 1736-6</t>
  </si>
  <si>
    <t>비빔밥&amp;죽</t>
  </si>
  <si>
    <t>평당 4~5천</t>
  </si>
  <si>
    <t>주야간 성행 / 주거밀집</t>
  </si>
  <si>
    <t>주야간 성행 / 대단지 배후</t>
  </si>
  <si>
    <t>경기도 시흥시 정왕동 1736-3</t>
  </si>
  <si>
    <t>세계로마트 앞 / 먹자 코너 / 무권리</t>
  </si>
  <si>
    <t>서울 구로구 오류동 77-1</t>
  </si>
  <si>
    <t>(구)현대자동차</t>
  </si>
  <si>
    <t>대로변 / 가시성·유동 우수 / 분할가능</t>
  </si>
  <si>
    <t>경기도 시흥시 정왕동 1624-10</t>
  </si>
  <si>
    <t>채담정</t>
  </si>
  <si>
    <t>맞은편 황태고향낙지전골 / 개방감</t>
  </si>
  <si>
    <t>경기도 시흥시 정왕동 1622-2</t>
  </si>
  <si>
    <t>상업지 이면 코너 / 접근·광고성 우수 / 주차편리</t>
  </si>
  <si>
    <t>경기도 시흥시 배곧동 215</t>
  </si>
  <si>
    <t>아브뉴프랑 오렌지동 시계탑 코너</t>
  </si>
  <si>
    <t>경기도 시흥시 배곧동 126</t>
  </si>
  <si>
    <t>테라스 있는 대형평수</t>
  </si>
  <si>
    <t>경기도 시흥시 정왕동 1742-13</t>
  </si>
  <si>
    <t>인천 남동구 서창남로 16-28</t>
  </si>
  <si>
    <t>바른암소한우</t>
  </si>
  <si>
    <t>시설완비 / 대로변 / 배후아파트 매우 좋음</t>
  </si>
  <si>
    <t>지도로</t>
    <phoneticPr fontId="3" type="noConversion"/>
  </si>
  <si>
    <t xml:space="preserve">2층 공실 </t>
    <phoneticPr fontId="3" type="noConversion"/>
  </si>
  <si>
    <t>맥주아비</t>
    <phoneticPr fontId="3" type="noConversion"/>
  </si>
  <si>
    <t>경기도 시흥시 정왕동 1727-2</t>
  </si>
  <si>
    <t>팔마오피스</t>
  </si>
  <si>
    <t>평당 5,000원</t>
  </si>
  <si>
    <t>서울특별시 관악구 봉천동 945-1</t>
  </si>
  <si>
    <t>한우직판장</t>
  </si>
  <si>
    <t>30만</t>
  </si>
  <si>
    <t>서울 금천구 독산동 951-4</t>
  </si>
  <si>
    <t>35만</t>
  </si>
  <si>
    <t>코너 · 대로변 · 동종업종 불가</t>
  </si>
  <si>
    <t>경기 시흥시 정왕동 1855-15</t>
  </si>
  <si>
    <t>민어</t>
  </si>
  <si>
    <t>1억</t>
  </si>
  <si>
    <t>주차 좋음 · 정왕동 46블럭 · (구)시화병원라인</t>
  </si>
  <si>
    <t>경기도 안산시 단원구 신길동 1633</t>
  </si>
  <si>
    <t>20만</t>
  </si>
  <si>
    <t>서울 관악구 봉천동 1674-10</t>
  </si>
  <si>
    <t>한의원</t>
  </si>
  <si>
    <t>70만</t>
  </si>
  <si>
    <t>낙성대역 · 대로변 · 가시성 좋음 · 구조 방문</t>
  </si>
  <si>
    <t>서울 광진구 자양동 794</t>
  </si>
  <si>
    <t>장수왕족발보쌈</t>
  </si>
  <si>
    <t>건대·자양 상권 · 주차 5대 · 기사식당 라인</t>
  </si>
  <si>
    <t>봉천역 · 대로변 · 가시성 좋음 · 업종 제한</t>
  </si>
  <si>
    <t>항아리 상권 · 배후 매우 좋음 · 커피/음식점 추천</t>
  </si>
  <si>
    <t>시화병원라인 · 대로변 · 가시성 좋음 · 배후상권 매우 좋음</t>
  </si>
  <si>
    <t>1층공실</t>
    <phoneticPr fontId="3" type="noConversion"/>
  </si>
  <si>
    <t>1억5,000</t>
  </si>
  <si>
    <t>2,000(8월만기)</t>
    <phoneticPr fontId="3" type="noConversion"/>
  </si>
  <si>
    <t>전용수</t>
  </si>
  <si>
    <t>40 이상</t>
  </si>
  <si>
    <t>브러치빈</t>
  </si>
  <si>
    <t>당산역 대로변 / 가시성 우수 / 주차가능 / 층고높음</t>
  </si>
  <si>
    <t>교동쿡</t>
  </si>
  <si>
    <t>생활상권</t>
  </si>
  <si>
    <t>안양시 동안구 관양동 1606</t>
  </si>
  <si>
    <t>미자네한우소머리국밥</t>
  </si>
  <si>
    <t>시골집</t>
  </si>
  <si>
    <t>동일건물</t>
  </si>
  <si>
    <t>안양시 동안구 관양동 1725-3</t>
  </si>
  <si>
    <t>대로변 / 버스정류장앞 / 분할임대가능</t>
  </si>
  <si>
    <t>안양시 동안구 비산동 1034-10</t>
  </si>
  <si>
    <t>부추통</t>
  </si>
  <si>
    <t>관악대로 / 전면노출 / 시설완비</t>
  </si>
  <si>
    <t>안양시 동안구 비산동 422-12</t>
  </si>
  <si>
    <t>병원·약국 배후 / 카페추천</t>
  </si>
  <si>
    <t>안산시 단원구 고잔동 541-1</t>
  </si>
  <si>
    <t>중앙동 로데오상권</t>
  </si>
  <si>
    <t>안양시 동안구 비산동 547-16</t>
  </si>
  <si>
    <t>주택배후 6,000세대</t>
  </si>
  <si>
    <t>안양시 동안구 호계동 926-4</t>
  </si>
  <si>
    <t>한도전</t>
  </si>
  <si>
    <t>안양시 동안구 호계동 1048-3</t>
  </si>
  <si>
    <t>자연드림</t>
  </si>
  <si>
    <t>업종무관 / 바로입주</t>
  </si>
  <si>
    <t>안양시 동안구 관양동 1607</t>
  </si>
  <si>
    <t>동춘돌곱창</t>
  </si>
  <si>
    <t>평촌역 도보1분</t>
  </si>
  <si>
    <t>안양시 동안구 관양동 1608-2</t>
  </si>
  <si>
    <t>이오식당</t>
  </si>
  <si>
    <t>평촌 먹자 메인</t>
  </si>
  <si>
    <t>안양시 동안구 관양동 1597</t>
  </si>
  <si>
    <t>이마트 맞은편 / 주차편함</t>
  </si>
  <si>
    <t>안양시 동안구 관양동 1746-3</t>
  </si>
  <si>
    <t>무권리 / 방문주차</t>
  </si>
  <si>
    <t>의왕시 내손동 416-3</t>
  </si>
  <si>
    <t>홍춘천</t>
  </si>
  <si>
    <t>항아리상권 / 아파트밀집</t>
  </si>
  <si>
    <t>오봉집</t>
  </si>
  <si>
    <t>안양시 동안구 평촌동 904-2</t>
  </si>
  <si>
    <t>안양시 동안구 평촌동 902-2</t>
  </si>
  <si>
    <t>향리원마라탕</t>
  </si>
  <si>
    <t>안양시 동안구 평촌동 900-9</t>
  </si>
  <si>
    <t>안양시 만안구 안양동 674-135</t>
  </si>
  <si>
    <t>백채</t>
  </si>
  <si>
    <t>안양1번가 메인</t>
  </si>
  <si>
    <t>서초구 서초동 1671-2</t>
  </si>
  <si>
    <t>파스쿠찌</t>
  </si>
  <si>
    <t>메인자리 / 업종무관</t>
  </si>
  <si>
    <t>영등포구 당산동6가 3-5</t>
    <phoneticPr fontId="3" type="noConversion"/>
  </si>
  <si>
    <t xml:space="preserve">1층 </t>
    <phoneticPr fontId="3" type="noConversion"/>
  </si>
  <si>
    <t>인천 미추홀구 주안동 230-1</t>
  </si>
  <si>
    <t>주안역 역세권 / 코너</t>
  </si>
  <si>
    <t>먹자골목 / 무권리</t>
  </si>
  <si>
    <t>인천 미추홀구 주안동 136-6</t>
  </si>
  <si>
    <t>솥뚜껑삼겹살</t>
  </si>
  <si>
    <t>주안역 2분 / 주차</t>
  </si>
  <si>
    <t>인천 미추홀구 주안동 1417-85</t>
  </si>
  <si>
    <t>대로변 / 렌트프리</t>
  </si>
  <si>
    <t>영등포구 신길동 820</t>
  </si>
  <si>
    <t>남가네설악추어탕</t>
  </si>
  <si>
    <t>28년 영업</t>
  </si>
  <si>
    <t>인천 미추홀구 주안동 138-4</t>
  </si>
  <si>
    <t>금별맥주</t>
  </si>
  <si>
    <t>중랑구 면목동 497-7</t>
  </si>
  <si>
    <t>유플러스</t>
  </si>
  <si>
    <t>판매점</t>
  </si>
  <si>
    <t>인천 미추홀구 주안동 190-5</t>
  </si>
  <si>
    <t>대형주차</t>
  </si>
  <si>
    <t>인천 미추홀구 주안동 186-11</t>
  </si>
  <si>
    <t>병천민속순대</t>
  </si>
  <si>
    <t>유동인구 최다</t>
  </si>
  <si>
    <t>인천 미추홀구 주안동 431-9</t>
  </si>
  <si>
    <t>바지락칼국수</t>
  </si>
  <si>
    <t>시민공원역</t>
  </si>
  <si>
    <t>인천 미추홀구 주안동 434-2</t>
  </si>
  <si>
    <t>대로변</t>
  </si>
  <si>
    <t>강동구 천호동 427-53</t>
  </si>
  <si>
    <t>봉평</t>
  </si>
  <si>
    <t>로데오 진입</t>
  </si>
  <si>
    <t>약90</t>
  </si>
  <si>
    <t>인천 미추홀구 주안동 185-2</t>
  </si>
  <si>
    <t>남동구 서창동 708-1</t>
  </si>
  <si>
    <t>엘베 / 렌트프리</t>
  </si>
  <si>
    <t>노원구 상계동 349-3</t>
  </si>
  <si>
    <t>노원역 2분</t>
  </si>
  <si>
    <t>노원구 상계동 327-1</t>
  </si>
  <si>
    <t>이자카야</t>
  </si>
  <si>
    <t>문화의거리</t>
  </si>
  <si>
    <t>노원구 상계동 735-3</t>
  </si>
  <si>
    <t>남원추어탕</t>
  </si>
  <si>
    <t>아파트배후</t>
  </si>
  <si>
    <t>인천 미추홀구 주안동 1007-6</t>
  </si>
  <si>
    <t>석바위사거리</t>
  </si>
  <si>
    <t>인천 미추홀구 주안동 956-1</t>
  </si>
  <si>
    <t>석바위시장</t>
  </si>
  <si>
    <t>인천 미추홀구 주안동 954-1</t>
  </si>
  <si>
    <t>초역세권</t>
  </si>
  <si>
    <t>인천 미추홀구 주안동 1542</t>
  </si>
  <si>
    <t>코너</t>
  </si>
  <si>
    <t>인천 미추홀구 주안동 1542-26</t>
  </si>
  <si>
    <t>리모델링</t>
  </si>
  <si>
    <t>인천 미추홀구 주안동 210-1</t>
  </si>
  <si>
    <t>인천 미추홀구 주안동 173-1</t>
  </si>
  <si>
    <t>인천 미추홀구 주안동 24-26</t>
  </si>
  <si>
    <t>사거리</t>
  </si>
  <si>
    <t>평촌 먹자</t>
    <phoneticPr fontId="3" type="noConversion"/>
  </si>
  <si>
    <t>장혁민의부대찌개</t>
    <phoneticPr fontId="3" type="noConversion"/>
  </si>
  <si>
    <t>대단한 탕후르</t>
    <phoneticPr fontId="3" type="noConversion"/>
  </si>
  <si>
    <t>흑염소 9900</t>
    <phoneticPr fontId="3" type="noConversion"/>
  </si>
  <si>
    <t>석바위 명태조림</t>
    <phoneticPr fontId="3" type="noConversion"/>
  </si>
  <si>
    <t>인천광역시 남동구 구월동 1492-3</t>
  </si>
  <si>
    <t>바다품은 코다리</t>
  </si>
  <si>
    <t>남동세무서 근처 / 시설깔끔 / 손님많음</t>
  </si>
  <si>
    <t>서울특별시 송파구 가락동 76-5</t>
  </si>
  <si>
    <t>기존 권리 8,000 → 무권리</t>
  </si>
  <si>
    <t>인천광역시 계양구 계산동 1076-12</t>
  </si>
  <si>
    <t>원조쌈밥</t>
  </si>
  <si>
    <t>무권리 / 시설사용가능</t>
  </si>
  <si>
    <t>인천광역시 계양구 계산동 1063-2</t>
  </si>
  <si>
    <t>경희보궁</t>
  </si>
  <si>
    <t>인천광역시 계양구 작전동 426-2</t>
  </si>
  <si>
    <t>분할사용가능</t>
  </si>
  <si>
    <t>인천광역시 서구 가정동 645-6</t>
  </si>
  <si>
    <t>제철회관</t>
  </si>
  <si>
    <t>보행자도로</t>
  </si>
  <si>
    <t>인천광역시 서구 신현동 307-8</t>
  </si>
  <si>
    <t>이전 이차돌 / 고깃집시설 / 월세조율</t>
  </si>
  <si>
    <t>서울특별시 중랑구 상봉동 116-4</t>
  </si>
  <si>
    <t>테라스30평 전용 / 월세500조정가능</t>
  </si>
  <si>
    <t>경기도 안산시 단원구 고잔동 775</t>
  </si>
  <si>
    <t>본도시락</t>
  </si>
  <si>
    <t>코너 / 호수역(신안산선)</t>
  </si>
  <si>
    <t>경기도 용인시 수지구 상현동 1131-3</t>
  </si>
  <si>
    <t>뜸들이다</t>
  </si>
  <si>
    <t>상현역1번출구 / 대로변</t>
  </si>
  <si>
    <t>경기도 용인시 수지구 상현동 1131-5</t>
  </si>
  <si>
    <t>인천광역시 남동구 구월동 70-10</t>
  </si>
  <si>
    <t>온김치찌개</t>
  </si>
  <si>
    <t>서비스10평 / 도시가스 / 내부완비 / 공영주차</t>
  </si>
  <si>
    <t>경기도 고양시 덕양구 화정동 975</t>
  </si>
  <si>
    <t>화정역 먹자 / 권리다운</t>
  </si>
  <si>
    <t>경기도 수원시 팔달구 인계동 1037-3</t>
  </si>
  <si>
    <t>강남모밀무이</t>
  </si>
  <si>
    <t>유부야</t>
  </si>
  <si>
    <t>경기도 수원시 팔달구 인계동 1119</t>
  </si>
  <si>
    <t>주주</t>
  </si>
  <si>
    <t>인계동 메인대로변</t>
  </si>
  <si>
    <t>경기도 고양시 덕양구 화신로 267</t>
  </si>
  <si>
    <t>정현축산</t>
  </si>
  <si>
    <t>노출좋음 / 화정공원앞</t>
  </si>
  <si>
    <t>경기도 고양시 덕양구 화정동 986-9</t>
  </si>
  <si>
    <t>옥소반</t>
  </si>
  <si>
    <t>주차16대 / 대로변</t>
  </si>
  <si>
    <t>경기도 용인시 수지구 상현동 1132</t>
  </si>
  <si>
    <t>알파문구 코너옆 / 유동많음</t>
  </si>
  <si>
    <t>본죽</t>
  </si>
  <si>
    <t>유동많음</t>
  </si>
  <si>
    <t>경기도 용인시 수지구 상현동 255</t>
  </si>
  <si>
    <t>철거완료 / 항아리상권</t>
  </si>
  <si>
    <t>경기도 용인시 수지구 죽전동 452-6</t>
  </si>
  <si>
    <t>경기도 용인시 기흥구 보정동 1207-1</t>
  </si>
  <si>
    <t>철거완료 / 카페거리</t>
  </si>
  <si>
    <t>경기도 용인시 수지구 동천동 873</t>
  </si>
  <si>
    <t>항아리상권</t>
  </si>
  <si>
    <t>서울특별시 송파구 송파동 84-1</t>
  </si>
  <si>
    <t>송송면사무소</t>
  </si>
  <si>
    <t>서울특별시 서초구 서초동 1557-11</t>
  </si>
  <si>
    <t>삼삼뼈국</t>
  </si>
  <si>
    <t>교대 먹자 최중심 / 주차1대</t>
  </si>
  <si>
    <t>서울특별시 서초구 서초동 1552-6</t>
  </si>
  <si>
    <t>서초불쭈꾸미</t>
  </si>
  <si>
    <t>서울특별시 서초구 서초동 1557-22</t>
  </si>
  <si>
    <t>교대 먹자 메인</t>
  </si>
  <si>
    <t>서울특별시 서초구 서초동 1567-9</t>
  </si>
  <si>
    <t>생마차</t>
  </si>
  <si>
    <t>서울특별시 서초구 서초동 1567-10</t>
  </si>
  <si>
    <t>엘브로커피</t>
  </si>
  <si>
    <t>테라스 / 내부화장실 / 업종제한</t>
  </si>
  <si>
    <t>서울특별시 서초구 서초동 1567-13</t>
  </si>
  <si>
    <t>락희잔술</t>
  </si>
  <si>
    <t>서울특별시 서초구 서초동 1573-1</t>
  </si>
  <si>
    <t>호밀호두</t>
  </si>
  <si>
    <t>본사직영 양도양수 2,500</t>
  </si>
  <si>
    <t>서울특별시 서초구 서초동 1571-10</t>
  </si>
  <si>
    <t>가이텐스시</t>
  </si>
  <si>
    <t>서울특별시 서초구 서초동 1457-2</t>
  </si>
  <si>
    <t>복층포함 / 남부터미널 2분</t>
  </si>
  <si>
    <t>단층차 / 남부터미널 2분</t>
  </si>
  <si>
    <t>전부사용 / 테라스서비스 / 주차2대</t>
  </si>
  <si>
    <t>인천광역시 미추홀구 주안동 505-5</t>
  </si>
  <si>
    <t>달보드레 방까페</t>
  </si>
  <si>
    <t>7년영업 / LPG / 화장실2층</t>
  </si>
  <si>
    <t>서울특별시 서초구 서초동 1553-15</t>
  </si>
  <si>
    <t>소연</t>
  </si>
  <si>
    <t>서초역1번출구 / 외부화장실</t>
  </si>
  <si>
    <t>서울특별시 서초구 서초동 1567-8</t>
  </si>
  <si>
    <t>원상복구완료</t>
  </si>
  <si>
    <t>인천광역시 연수구 송도동 23-4</t>
  </si>
  <si>
    <t>관리비 평당7,000 / 대로변</t>
  </si>
  <si>
    <t>옆칸 / 고깃집추천</t>
  </si>
  <si>
    <t>인천광역시 중구 중앙동3가 4-8</t>
  </si>
  <si>
    <t>개성손만두 신포점</t>
  </si>
  <si>
    <t>1년전 올수리</t>
  </si>
  <si>
    <t>인천 연수구 송도동 22-22</t>
  </si>
  <si>
    <t>야끼화로</t>
  </si>
  <si>
    <t>월드메르디앙 코너 / 가시성 최고 / 배후 최고</t>
  </si>
  <si>
    <t>서울 강남구 논현동 236-6</t>
  </si>
  <si>
    <t>역세권 대로변 / 신축급 / 노출도 최상 / 카페추천</t>
  </si>
  <si>
    <t>서울 강남구 논현동 243-6</t>
  </si>
  <si>
    <t>지하1층(현황1층)</t>
  </si>
  <si>
    <t>살루토</t>
  </si>
  <si>
    <t>주차무료2대 / 권리 협의</t>
  </si>
  <si>
    <t>경기 시흥시 대야동 290-5</t>
  </si>
  <si>
    <t>대로변 / 대야역 10m / 배후좋음 / 주차좋음(3대)</t>
  </si>
  <si>
    <t>동일건물 소형</t>
  </si>
  <si>
    <t>서울 강남구 청담동 20-12</t>
  </si>
  <si>
    <t>원복완료 / 주차무료1대</t>
  </si>
  <si>
    <t>서울 강남구 청담동 3-15</t>
  </si>
  <si>
    <t>호사</t>
  </si>
  <si>
    <t>주차무료1+발렛 / 연층가능(50평 조건 별도)</t>
  </si>
  <si>
    <t>서울 강남구 청담동 1-9</t>
  </si>
  <si>
    <t>통임대 / 주차무료1+발렛</t>
  </si>
  <si>
    <t>서울 강남구 청담동 22-1</t>
  </si>
  <si>
    <t>신축 첫입주 / 층고4.7m / 주차무료1대</t>
  </si>
  <si>
    <t>서울 강남구 청담동 5-3</t>
  </si>
  <si>
    <t>원복완료 / 이면 / 금액협의가능</t>
  </si>
  <si>
    <t>서울 강남구 청담동 1-14</t>
  </si>
  <si>
    <t>양마니</t>
  </si>
  <si>
    <t>전면 가시성 / 발렛가능 / 권리협의</t>
  </si>
  <si>
    <t>서울 강남구 신사동 517-33</t>
  </si>
  <si>
    <t>평화로운집</t>
  </si>
  <si>
    <t>전면 통창 / 내부 남녀화장실 / 권리협의</t>
  </si>
  <si>
    <t>서울 강남구 신사동 577-10</t>
  </si>
  <si>
    <t>수차이나</t>
  </si>
  <si>
    <t>주차가능 / 전면간판 / 창고10평</t>
  </si>
  <si>
    <t>서울 강남구 신사동 576-5</t>
  </si>
  <si>
    <t>최근 음식점 협의 / 배후+직장+병원</t>
  </si>
  <si>
    <t>서울 강남구 신사동 651-5</t>
  </si>
  <si>
    <t>통유리 가시성 / 테라스</t>
  </si>
  <si>
    <t>서울 강남구 신사동 512-20</t>
  </si>
  <si>
    <t>마산옥</t>
  </si>
  <si>
    <t>삼면유리 / 가시성 상 / 권리협의</t>
  </si>
  <si>
    <t>서울 강남구 논현동 95-22</t>
  </si>
  <si>
    <t>주주포차 초입 / 유동多 / 남녀화장실 / 발렛</t>
  </si>
  <si>
    <t>서울 강남구 청담동 38-18</t>
  </si>
  <si>
    <t>강남구청역 2분 / 간판가시성 / 외부화장실</t>
  </si>
  <si>
    <t>한식부페(한우전)</t>
  </si>
  <si>
    <t>프랜차이즈 요충지 / 먹자상권 / 유동많음</t>
  </si>
  <si>
    <t>서울 강남구 신사동 517-12</t>
  </si>
  <si>
    <t>권리협의</t>
  </si>
  <si>
    <t>서울 강남구 신사동 615</t>
  </si>
  <si>
    <t>누아주베이커리</t>
  </si>
  <si>
    <t>유동인구 최상</t>
  </si>
  <si>
    <t>서울 강남구 신사동 539-2</t>
  </si>
  <si>
    <t>압구정곱창</t>
  </si>
  <si>
    <t>간판가시성 / 주차가능</t>
  </si>
  <si>
    <t>서울 강남구 청담동 1-2</t>
  </si>
  <si>
    <t>우블랑</t>
  </si>
  <si>
    <t>남녀분리화장실 / 협의가능</t>
  </si>
  <si>
    <t>경기 안산시 단원구 고잔동 537-6</t>
  </si>
  <si>
    <t>그로비까페</t>
  </si>
  <si>
    <t>중앙대로 / 주차장예정지 앞</t>
  </si>
  <si>
    <t>서울 강남구 논현동 241-16</t>
  </si>
  <si>
    <t>강남구청역 1분 / 무료주차1대</t>
  </si>
  <si>
    <t>경기 안산시 단원구 선부동 1077-15</t>
  </si>
  <si>
    <t>장군부대찌개</t>
  </si>
  <si>
    <t>선부역세권 / 주차편리</t>
  </si>
  <si>
    <t>경기 안산시 단원구 선부동 534-2</t>
  </si>
  <si>
    <t>중앙동 메인 / 간판노출 최상</t>
  </si>
  <si>
    <t>인천 남동구 구월동 1142-20</t>
  </si>
  <si>
    <t>파스구찌</t>
  </si>
  <si>
    <t>관공서/상업시설/오피스텔 밀집 / 음식점 가능</t>
  </si>
  <si>
    <t>인천 남동구 구월동 1126-1</t>
  </si>
  <si>
    <t>예술회관역 3번출구 초초역세권 / 업종자유 / 즉시입주</t>
  </si>
  <si>
    <t>인천 서구 가정동 492</t>
  </si>
  <si>
    <t>2개호실 분할가능(5,000/270, 5,000/260)</t>
  </si>
  <si>
    <t>인천 서구 가정동 617-3</t>
  </si>
  <si>
    <t>일일양</t>
  </si>
  <si>
    <t>관공서앞 / 로데오 메인먹자 / 더블역세권</t>
  </si>
  <si>
    <t>인천 서구 가정동 611-23</t>
  </si>
  <si>
    <t>루원장어마을</t>
  </si>
  <si>
    <t>루원중심상가 초입 / 유동 항상 좋음</t>
  </si>
  <si>
    <t>인천 서구 가정동 645-6</t>
  </si>
  <si>
    <t>제철회관(원복)</t>
  </si>
  <si>
    <t>2칸 가족관계(2칸 사용시 6,000/420)</t>
  </si>
  <si>
    <t>인천 서구 가정동 611-6</t>
  </si>
  <si>
    <t>서울 영등포구 당산동6가 3-5</t>
  </si>
  <si>
    <t>일떼 라쪼</t>
  </si>
  <si>
    <t>주차가능 / 대로변 / 당산역세권 / 배후좋음</t>
  </si>
  <si>
    <t>명월 등갈비</t>
  </si>
  <si>
    <t>고깃집 시설 매우 우수</t>
  </si>
  <si>
    <t>인천 남동구 구월동 1132-1</t>
  </si>
  <si>
    <t>미가촌감자탕</t>
  </si>
  <si>
    <t>인천 연수구 선학동 407-2</t>
  </si>
  <si>
    <t>테바나카오또상</t>
  </si>
  <si>
    <t>주차가능 / 대로변 / 당산역세권 / 배후 좋음</t>
  </si>
  <si>
    <t>(별도) / 고깃집 시설 좋음</t>
  </si>
  <si>
    <t>성남시 수정구 창곡동 509</t>
  </si>
  <si>
    <t>중앙타워 1번 게이트 좌측코너 최상입지</t>
  </si>
  <si>
    <t>성남시 수정구 장지동 883 (위례아이파크2차)</t>
  </si>
  <si>
    <t>트램정거장 / 투썸 맞은편 / 다음달 트램 시운전</t>
  </si>
  <si>
    <t>하남시 학암동 661 (위례효성해링턴타워)</t>
  </si>
  <si>
    <t>골프연습장 옆 도로변</t>
  </si>
  <si>
    <t>가장맛있는족발</t>
  </si>
  <si>
    <t>서울 서초구 서초동 1574-15</t>
  </si>
  <si>
    <r>
      <t xml:space="preserve">교대역 1분 / </t>
    </r>
    <r>
      <rPr>
        <b/>
        <sz val="11"/>
        <color theme="1"/>
        <rFont val="맑은 고딕"/>
        <family val="3"/>
        <charset val="129"/>
        <scheme val="minor"/>
      </rPr>
      <t>식당불가</t>
    </r>
    <r>
      <rPr>
        <sz val="11"/>
        <color theme="1"/>
        <rFont val="맑은 고딕"/>
        <family val="2"/>
        <scheme val="minor"/>
      </rPr>
      <t>(샌드위치 등 가능)</t>
    </r>
  </si>
  <si>
    <t>서울 강남구 역삼동 785-22</t>
  </si>
  <si>
    <r>
      <t>강남세브란스사거리 / 코너 2면통창 / 카페추천(</t>
    </r>
    <r>
      <rPr>
        <b/>
        <sz val="11"/>
        <color theme="1"/>
        <rFont val="맑은 고딕"/>
        <family val="3"/>
        <charset val="129"/>
        <scheme val="minor"/>
      </rPr>
      <t>음식점불가</t>
    </r>
    <r>
      <rPr>
        <sz val="11"/>
        <color theme="1"/>
        <rFont val="맑은 고딕"/>
        <family val="2"/>
        <scheme val="minor"/>
      </rPr>
      <t>)</t>
    </r>
  </si>
  <si>
    <t>송파구 장지동 883</t>
  </si>
  <si>
    <t>서울 강남구 역삼동 790-7</t>
  </si>
  <si>
    <t>(흥양디컨 사옥)</t>
  </si>
  <si>
    <t>신축 / 코너 3면개방 / 층고높음 / 주차1대 / 프리미엄카페 추천</t>
  </si>
  <si>
    <t>서울 강남구 도곡동 942-1</t>
  </si>
  <si>
    <t>삼미모피</t>
  </si>
  <si>
    <t>양재역 8분 / 카페&amp;베이커리 추천</t>
  </si>
  <si>
    <t>서울 강남구 청담동 21-7</t>
  </si>
  <si>
    <t>연층(-1~1)</t>
  </si>
  <si>
    <t>지하20+지상25 / 주차1+발렛 / 랜드마크 음식점</t>
  </si>
  <si>
    <t>남녀분리화장실</t>
  </si>
  <si>
    <t>15/15/17평 (3칸) / 칸당 조건</t>
  </si>
  <si>
    <t>인천 남동구 서창동 668</t>
  </si>
  <si>
    <t>바다수퍼</t>
  </si>
  <si>
    <t>코너 / 노브랜드·신한은행 건물 / 무권리</t>
  </si>
  <si>
    <t>인천 남동구 서창동 708-2</t>
  </si>
  <si>
    <t>명태랑진땡이</t>
  </si>
  <si>
    <t>인천 남동구 서창동 708-3</t>
  </si>
  <si>
    <t>인천 남동구 서창동 707-3</t>
  </si>
  <si>
    <t>서울 강남구 도곡동 412-7</t>
  </si>
  <si>
    <t>원복상태</t>
  </si>
  <si>
    <t>매봉역 4분 / 먹자라인 메인 / 코너 / 층고높음(복층가능)</t>
  </si>
  <si>
    <t>꼬치마요</t>
  </si>
  <si>
    <t>광진구 자양동 250-10</t>
  </si>
  <si>
    <t>통임대</t>
  </si>
  <si>
    <t>루프탑2평 / 월세 네고가능 / 음식점은 협의</t>
  </si>
  <si>
    <t>서울 강남구 역삼동 788-12</t>
  </si>
  <si>
    <t>할매순대국</t>
  </si>
  <si>
    <t>수도포함 / 전용주차1대 / 8년운영</t>
  </si>
  <si>
    <t>서울 강남구 역삼동 697-45</t>
  </si>
  <si>
    <t>국순</t>
  </si>
  <si>
    <t>선릉 메인 / 전용출입구 / 주차불가(할인주차)</t>
  </si>
  <si>
    <t>서울 강남구 역삼동 696-5</t>
  </si>
  <si>
    <t>지하1층</t>
  </si>
  <si>
    <t>입맛을훔친순대국</t>
  </si>
  <si>
    <t>주차1대 / 코너 / 간판노출 최강</t>
  </si>
  <si>
    <t>서울 강남구 삼성동 140-6</t>
  </si>
  <si>
    <t>(구 오프로드) 커피·판매점 가능</t>
  </si>
  <si>
    <t>성동구 성수동2가 289-96</t>
  </si>
  <si>
    <t>생활맥주</t>
  </si>
  <si>
    <t>성수역 3분 / 먹자골목 메인 / 통임대</t>
  </si>
  <si>
    <t>성동구 성수동2가 289-243</t>
  </si>
  <si>
    <t>쭈꾸미장군</t>
  </si>
  <si>
    <t>성수 먹자골목</t>
  </si>
  <si>
    <t>성동구 성수동2가 289-231</t>
  </si>
  <si>
    <t>김성기미용실</t>
  </si>
  <si>
    <t>월세 인상 가능성</t>
  </si>
  <si>
    <t>1층 공실(3칸)</t>
  </si>
  <si>
    <t>안산시 상록구 이동 661-4</t>
  </si>
  <si>
    <t>1동 공실</t>
  </si>
  <si>
    <t>(전 유미카츠) 이동 먹자 / 대로변 코너 노출 좋음</t>
  </si>
  <si>
    <t>강남구 역삼동 697-45</t>
  </si>
  <si>
    <t>스시마이우</t>
  </si>
  <si>
    <t>선릉역 메인 최상급자리</t>
  </si>
  <si>
    <t>권리금 저렴</t>
  </si>
  <si>
    <t>강남구 역삼동 799-6</t>
  </si>
  <si>
    <t>어퍼스트롭</t>
  </si>
  <si>
    <t>카페·판매점 추천 / 음식점 제한</t>
  </si>
  <si>
    <t>강남구 역삼동 799-9</t>
  </si>
  <si>
    <t>무료주차1대 / 외부 남녀공용 / 2~4층 사무실 계약완료 / 카페추천</t>
  </si>
  <si>
    <t>강남구 대치동 894</t>
  </si>
  <si>
    <t>후토루</t>
  </si>
  <si>
    <t>강남구 대치동 935</t>
  </si>
  <si>
    <t>봉이밥</t>
  </si>
  <si>
    <t>안산시 상록구 본오동 878-6</t>
  </si>
  <si>
    <t>(구)우체국 자리</t>
  </si>
  <si>
    <t>상록수역 대로변 / 가시성 매우 좋음 / 배후상권 좋음</t>
  </si>
  <si>
    <t>강남구 역삼동 830-38</t>
  </si>
  <si>
    <t>세광양대창</t>
  </si>
  <si>
    <t>강남역 5분 / 남녀분리화장실 / 자주식주차3대+방문주차 협의 / 유동 좋음</t>
  </si>
  <si>
    <t>강남구 삼성동 143-3</t>
  </si>
  <si>
    <t>1층~(지하포함)</t>
  </si>
  <si>
    <t>강뚝꼬치구이전문점</t>
  </si>
  <si>
    <r>
      <t>층별 조건</t>
    </r>
    <r>
      <rPr>
        <sz val="11"/>
        <color theme="1"/>
        <rFont val="맑은 고딕"/>
        <family val="2"/>
        <scheme val="minor"/>
      </rPr>
      <t>: 1층(20,000/900/300), 2층(10,000/600/300) / 1층만 사용가능(주방 지하→설치필요) / 주차2대 / E/V / 실내 남녀분리</t>
    </r>
  </si>
  <si>
    <t>안산시 상록구 이동 694-1</t>
  </si>
  <si>
    <t>에그브로</t>
  </si>
  <si>
    <t>한대역 대로변 / 가시성 좋음 / 대학먹자·아파트 상권 / 권리 조정가능</t>
  </si>
  <si>
    <t>영등포구 당산동6가 314</t>
  </si>
  <si>
    <t>초장집</t>
  </si>
  <si>
    <t>메인 먹자라인 / 통창 노출 S급 / 큰 평형</t>
  </si>
  <si>
    <t>영등포구 양평동4가 27-4</t>
  </si>
  <si>
    <t>한신우동</t>
  </si>
  <si>
    <t>당산역 대로변 / 외부추가공간</t>
  </si>
  <si>
    <t>영등포구 당산동6가 341-1 (더클래스한강 102동)</t>
  </si>
  <si>
    <t>오빠통닭</t>
  </si>
  <si>
    <t>영등포구 당산동6가 237</t>
  </si>
  <si>
    <t>고창갈비</t>
  </si>
  <si>
    <t>당산역6번출구 1분 / 먹자골목 1층 / 점심·저녁 유동 많음 / 주차불가 / 고깃집 시설 인수희망</t>
  </si>
  <si>
    <t>영등포구 당산동6가 310</t>
  </si>
  <si>
    <t>당산역 3번출구 바로 앞</t>
  </si>
  <si>
    <t>영등포구 당산동6가 312</t>
  </si>
  <si>
    <t>이자카야베이비</t>
  </si>
  <si>
    <t>대장상 / 옥외영업 가능 / 2·9호선 각 150m / 주차가능 / 외부 공동 남녀구분</t>
  </si>
  <si>
    <t>영등포구 당산동5가 42</t>
  </si>
  <si>
    <t>메가커피</t>
  </si>
  <si>
    <t>모든업종 가능</t>
  </si>
  <si>
    <t>CU+메가커피</t>
  </si>
  <si>
    <t>인천 중구 신포동 20-8</t>
  </si>
  <si>
    <t>개성본가</t>
  </si>
  <si>
    <t>신포시장 인근 / 유동 많음 / 1년전 올수리 / 손만두 비법 전수 가능 / 업종변경 가능</t>
  </si>
  <si>
    <t>영등포구 양평동4가 153-6</t>
  </si>
  <si>
    <t>홍두깨칼국수</t>
  </si>
  <si>
    <t>인천 남동구 서창동 691-2</t>
  </si>
  <si>
    <t>(구 헤어드레서) 모든업종 가능</t>
  </si>
  <si>
    <t>강남구 역삼동 838-9</t>
  </si>
  <si>
    <t>싸다김밥</t>
  </si>
  <si>
    <t>뱅뱅사거리 대로변 횡단보도 앞 / 입지 최강 / 주차가능</t>
  </si>
  <si>
    <t>영등포구 양평동5가 30</t>
  </si>
  <si>
    <t>카페추천 / 업종협의 / 주차가능</t>
  </si>
  <si>
    <t>영등포구 당산동3가 198</t>
  </si>
  <si>
    <t>영등포구 양평동4가 52-1</t>
  </si>
  <si>
    <t>양평옥</t>
  </si>
  <si>
    <t>영등포구 당산동3가 223-3</t>
  </si>
  <si>
    <t>피맥하우스</t>
  </si>
  <si>
    <t>영등포구 문래동3가 82-8</t>
  </si>
  <si>
    <t>원주추어탕</t>
  </si>
  <si>
    <t>영등포구 영등포동4가 75-3</t>
  </si>
  <si>
    <t>광명수산</t>
  </si>
  <si>
    <t>47.3만</t>
  </si>
  <si>
    <t>종로구 재동 104-1</t>
  </si>
  <si>
    <t>브람스</t>
  </si>
  <si>
    <t>안국역 대로변 코너 / 관광객 폭발지역</t>
  </si>
  <si>
    <t>영등포구 양평동5가 67</t>
  </si>
  <si>
    <t>34.23만</t>
  </si>
  <si>
    <t>선유도역 초역세권 / 대로변 노출최상 / 무권리 신축 / 내부 남녀분리 / 주차가능</t>
  </si>
  <si>
    <t>강남구 청담동 76-6</t>
  </si>
  <si>
    <t>청담역 초역세권 / 전면 넓은 무권리 / 카페추천 / 음식점불가</t>
  </si>
  <si>
    <t>강남구 신사동 660-18</t>
  </si>
  <si>
    <t>홈플러스익스프레스</t>
  </si>
  <si>
    <t>101~103호 3개호실 / 보증금 협의(5억/2,100)</t>
  </si>
  <si>
    <t>강남구 역삼동 809-12</t>
  </si>
  <si>
    <t>보증금 협의가능 / 업종: 냄새 강한 음식 제외 가능</t>
  </si>
  <si>
    <t>강남구 역삼동 809-10</t>
  </si>
  <si>
    <t>영등포구 당산동4가 1-18</t>
  </si>
  <si>
    <t>1~4층 전층</t>
  </si>
  <si>
    <t>전층사용</t>
  </si>
  <si>
    <t>주차가능 / 업종확인필요</t>
  </si>
  <si>
    <t>인천 남동구 도림동 672-2</t>
  </si>
  <si>
    <t>(관리비 표기 원문 그대로)</t>
  </si>
  <si>
    <t>서초구 서초동 1328-11</t>
  </si>
  <si>
    <t>봉피양</t>
  </si>
  <si>
    <t>강남대로변 2층 / 외부계단 연결 / 가시성 좋음</t>
  </si>
  <si>
    <t>영등포구 영등포동 618-265</t>
  </si>
  <si>
    <t>(전 신협)</t>
  </si>
  <si>
    <t>통임대 가능(15,000/600) / 지하18(층고낮음) / 2층18 / 업종제한없음</t>
  </si>
  <si>
    <t>영등포구 영등포동 618-195</t>
  </si>
  <si>
    <t>진사골설렁탕</t>
  </si>
  <si>
    <t>영등포역 초역세권 / 가성비</t>
  </si>
  <si>
    <t>영등포구 영등포동 618-55</t>
  </si>
  <si>
    <t>선유참치</t>
  </si>
  <si>
    <t>영등포역 후면 먹자골목 / 무권리</t>
  </si>
  <si>
    <t>영등포구 영등포동3가2</t>
  </si>
  <si>
    <t>(전 쿨핑)</t>
  </si>
  <si>
    <t>주차2대 무료 / 업종협의</t>
  </si>
  <si>
    <t>구로구 고척동 76-28</t>
  </si>
  <si>
    <t>소부리순대국</t>
  </si>
  <si>
    <t>지하 냉장창고 7평 서비스 / 주차가능</t>
  </si>
  <si>
    <t>영등포구 영등포동3가16-2</t>
  </si>
  <si>
    <t>화장실 내부 / 영등포 메인 / 전면좋음 / 유동多</t>
  </si>
  <si>
    <t>영등포구 영등포동 618-214</t>
  </si>
  <si>
    <t>매머드커피</t>
  </si>
  <si>
    <t>모든 업종 가능</t>
  </si>
  <si>
    <t>영등포구 신길동 478</t>
  </si>
  <si>
    <t>79 파운드리</t>
  </si>
  <si>
    <t>보라매역 역세권 / 대로변 가시성·유동 좋음</t>
  </si>
  <si>
    <t>양천구 신정동 978-19</t>
  </si>
  <si>
    <t>1~3층</t>
  </si>
  <si>
    <t>(통건물)</t>
  </si>
  <si>
    <t>주차장 좋음 / 대로변 / 음식점 가능</t>
  </si>
  <si>
    <t>양천구 신정동 1006-2</t>
  </si>
  <si>
    <t>1층 (2칸/공실)</t>
  </si>
  <si>
    <t>28(34)</t>
  </si>
  <si>
    <t>판매점이면 월 450 / 4칸중 2칸 감자탕 입점 / 권리없는 귀한물건</t>
  </si>
  <si>
    <t>군포시 산본동 1099-4</t>
  </si>
  <si>
    <t>(분리가능)</t>
  </si>
  <si>
    <t>코너 전면 좋음 / 상권 좋음 / 음식점 가능</t>
  </si>
  <si>
    <t>안산시 상록구 사동 1556-1</t>
  </si>
  <si>
    <t>꿈의교회 인근 / 대로변 / 주차가능</t>
  </si>
  <si>
    <t>안산시 상록구 본오동 880-11</t>
  </si>
  <si>
    <t>돈키호테안경점</t>
  </si>
  <si>
    <t>데크설치 10평 가능 / 본오동 먹자 메인 / 권리저렴</t>
  </si>
  <si>
    <t>마포구 공덕동 249-16</t>
  </si>
  <si>
    <t>W펍</t>
  </si>
  <si>
    <t>공덕역 / 오피스상권 / 외부 남녀화장실</t>
  </si>
  <si>
    <t>안산시 상록구 사동 1191</t>
  </si>
  <si>
    <t>홍도순대</t>
  </si>
  <si>
    <t>인테리어 잘됨</t>
  </si>
  <si>
    <t>안산시 상록구 사동 1524-1</t>
  </si>
  <si>
    <t>오리농장</t>
  </si>
  <si>
    <t>안산시 상록구 사동 1304-8</t>
  </si>
  <si>
    <t>고기애진심</t>
  </si>
  <si>
    <t>뒤뜰 창고 사용 / 진로마트 삼거리 가시성 최고</t>
  </si>
  <si>
    <t>안산시 상록구 사동 1304-6</t>
  </si>
  <si>
    <t>오비베어</t>
  </si>
  <si>
    <t>뒤뜰 창고 사용 / 권리 조율가능</t>
  </si>
  <si>
    <t>마포구 신수동 91-15</t>
  </si>
  <si>
    <t>애견용품할인매장</t>
  </si>
  <si>
    <r>
      <t xml:space="preserve">층고 3.5m / 주차가능 / 외부화장실 / </t>
    </r>
    <r>
      <rPr>
        <b/>
        <sz val="11"/>
        <color theme="1"/>
        <rFont val="맑은 고딕"/>
        <family val="3"/>
        <charset val="129"/>
        <scheme val="minor"/>
      </rPr>
      <t>음식점불가</t>
    </r>
  </si>
  <si>
    <t>서대문구 대현동 40-13</t>
  </si>
  <si>
    <t>(구 이니스프리)</t>
  </si>
  <si>
    <t>이대역 1번출구 바로앞</t>
  </si>
  <si>
    <t>인천 서구 (원문: “184-3”)</t>
  </si>
  <si>
    <t>1층 공실(2칸)</t>
  </si>
  <si>
    <t>가정역·버스정류장 1분 / 7호선(예정) 5분 / 주차가능 / 복합청사·국세청 등 입주예정</t>
  </si>
  <si>
    <t>인천 서구 가정동 616-3</t>
  </si>
  <si>
    <t>공대생맥주</t>
  </si>
  <si>
    <t>인천 서구 가정동 619-7</t>
  </si>
  <si>
    <t>흑돼지형제들</t>
  </si>
  <si>
    <t>천리향양꼬치</t>
  </si>
  <si>
    <t>마포구 신공덕동 13-11</t>
  </si>
  <si>
    <t>(이전 공덕할인마트) 중앙</t>
  </si>
  <si>
    <r>
      <t>분할임대</t>
    </r>
    <r>
      <rPr>
        <sz val="11"/>
        <color theme="1"/>
        <rFont val="맑은 고딕"/>
        <family val="2"/>
        <scheme val="minor"/>
      </rPr>
      <t>(중앙)</t>
    </r>
  </si>
  <si>
    <t>(이전 공덕할인마트) 우측</t>
  </si>
  <si>
    <r>
      <t>분할임대</t>
    </r>
    <r>
      <rPr>
        <sz val="11"/>
        <color theme="1"/>
        <rFont val="맑은 고딕"/>
        <family val="2"/>
        <scheme val="minor"/>
      </rPr>
      <t>(우측)</t>
    </r>
  </si>
  <si>
    <t>마포구 서교동 374-10</t>
  </si>
  <si>
    <t>백년육일집</t>
  </si>
  <si>
    <t>층고 3.9M / 관리비 인상가능성</t>
  </si>
  <si>
    <t>마포구 도화동 250-4</t>
  </si>
  <si>
    <t>1층 공실(원복)</t>
  </si>
  <si>
    <t>(기존 도원)</t>
  </si>
  <si>
    <t>마포구 도화동 159-16</t>
  </si>
  <si>
    <t>선비촌추어탕</t>
  </si>
  <si>
    <t>마포구 도화동 250-11</t>
  </si>
  <si>
    <t>문토리</t>
  </si>
  <si>
    <t>층고 2.43M</t>
  </si>
  <si>
    <t>수원시 장안구 연무동 245-17</t>
  </si>
  <si>
    <t>(전 소소한우/구 소소한한우)</t>
  </si>
  <si>
    <r>
      <t xml:space="preserve">대로변 코너 노출 최상 / 주택가상권(아파트·빌라·오피스텔 배후) / 무권리 깨끗 / 즉시입주 / </t>
    </r>
    <r>
      <rPr>
        <i/>
        <sz val="11"/>
        <color theme="1"/>
        <rFont val="맑은 고딕"/>
        <family val="3"/>
        <charset val="129"/>
        <scheme val="minor"/>
      </rPr>
      <t>월세 인상 가능성</t>
    </r>
  </si>
  <si>
    <t>분당구 서현동 269-3</t>
  </si>
  <si>
    <t>안드로메다</t>
  </si>
  <si>
    <t>서현 먹자 메인 / 유동·상주인구 매우 좋음</t>
  </si>
  <si>
    <t>고양시 덕양구 행신동 707-1</t>
  </si>
  <si>
    <t>정칠구백순대</t>
  </si>
  <si>
    <t>행신역 도보 3분 / 남·여 화장실 별도 / 주차가능</t>
  </si>
  <si>
    <t>고양시 덕양구 행신동 766</t>
  </si>
  <si>
    <t>고양시 덕양구 행신동 706-1</t>
  </si>
  <si>
    <t>민투유</t>
  </si>
  <si>
    <t>고양시 덕양구 행신동 761-6</t>
  </si>
  <si>
    <t>족발</t>
  </si>
  <si>
    <t>행신역 도보2분 / 대로변 사거리 코너 / 스타벅스·서브웨이·CGV 등 대형브랜드로 유동 최다</t>
  </si>
  <si>
    <t>강서구 염창동 282-26</t>
  </si>
  <si>
    <t>CU</t>
  </si>
  <si>
    <t>강서구 염창동 282-18</t>
  </si>
  <si>
    <t>동서견직</t>
  </si>
  <si>
    <t>염창역 1분 / 버스정류장 앞 / 아파트·오피스텔·사무실·호텔 배후 / 주차 뒤편 / 도시가스 / 음식점 협의(음식점이면 월세 +50 가능) / 카페추천</t>
  </si>
  <si>
    <t>양천구 목동 406-258</t>
  </si>
  <si>
    <t>찌개당</t>
  </si>
  <si>
    <t>양천구 목동 406-184</t>
  </si>
  <si>
    <t>곱분이곱창</t>
  </si>
  <si>
    <t>오목교역 1번출구 앞 대로변 / 추가공간 사용 포함</t>
  </si>
  <si>
    <t>양천구 신정동 118-3</t>
  </si>
  <si>
    <t>통통한오징어</t>
  </si>
  <si>
    <t>양천구 목동 405-70</t>
  </si>
  <si>
    <t>지리산복돼지</t>
  </si>
  <si>
    <t>양천구 목동 406-271</t>
  </si>
  <si>
    <t>용용선생</t>
  </si>
  <si>
    <t>마포고깃간</t>
  </si>
  <si>
    <t>서울 영등포구 신길동 496</t>
  </si>
  <si>
    <t>펀 비어킹</t>
  </si>
  <si>
    <t>보라매역세권 / 대로변 / 가시성 우수 / 유동인구 매우 좋음</t>
  </si>
  <si>
    <t>서울특별시 영등포구 신길로 36</t>
  </si>
  <si>
    <t>신풍 썬프라자 삼거리 / 대로변 가시성 좋음 / 커피·음료 추천</t>
  </si>
  <si>
    <t>중구 서소문동 34</t>
  </si>
  <si>
    <t>까페게이트</t>
  </si>
  <si>
    <t>중구 대표 오피스상권 / 대기업·공공기관 밀집 / 평일 유동 탄탄 / 카페·디저트 추천</t>
  </si>
  <si>
    <t>종로구 청진동 30</t>
  </si>
  <si>
    <t>2층(단독)</t>
  </si>
  <si>
    <t>청진복집</t>
  </si>
  <si>
    <t>종각·광화문 도보권 / 유동인구 풍부 / 노포 맛집</t>
  </si>
  <si>
    <t>종로구 청진동 70</t>
  </si>
  <si>
    <t>제일약국</t>
  </si>
  <si>
    <t>종로구청 앞 최고입지 / 업종무관 / 카페 추천</t>
  </si>
  <si>
    <t>종로구 수송동 156</t>
  </si>
  <si>
    <t>신라스테이 건물 / 카페 추천</t>
  </si>
  <si>
    <t>종로구 돈의동 128-2</t>
  </si>
  <si>
    <t>자갈치막회집</t>
  </si>
  <si>
    <t>종로3가역 도보3분 / 점포 앞 야장 허가</t>
  </si>
  <si>
    <t>종로구 낙원동 146</t>
  </si>
  <si>
    <t>낙원남원추어탕</t>
  </si>
  <si>
    <t>종로3가역 도보3분 / 유동 많은 성업중 상가</t>
  </si>
  <si>
    <t>종로구 낙원동 148</t>
  </si>
  <si>
    <t>종로함바집</t>
  </si>
  <si>
    <t>송해길 길목</t>
  </si>
  <si>
    <t>이태원역 초역세권 / 대로변 / 무권리 / 업종자유</t>
  </si>
  <si>
    <t>이바돔감자탕</t>
  </si>
  <si>
    <t>초역세권 / 유동인구 풍부</t>
  </si>
  <si>
    <t>강남구 신사동 581</t>
  </si>
  <si>
    <t>해머스미스커피</t>
  </si>
  <si>
    <t>압구정역 1분 / 유동인구 많음</t>
  </si>
  <si>
    <t>강남구 신사동 614</t>
  </si>
  <si>
    <t>베스킨라빈스</t>
  </si>
  <si>
    <t>압구정역 초역세권 / 대형 프랜차이즈 추천</t>
  </si>
  <si>
    <t>강남구 신사동 514-22</t>
  </si>
  <si>
    <t>투썸플레이스</t>
  </si>
  <si>
    <t>대로변 / 브랜드 입지</t>
  </si>
  <si>
    <t>강남구 신사동 610-2</t>
  </si>
  <si>
    <t>신촌설렁탕</t>
  </si>
  <si>
    <t>주차1대 / 공용화장실</t>
  </si>
  <si>
    <t>강남구 신사동 655-4</t>
  </si>
  <si>
    <t>담솥 압구정점</t>
  </si>
  <si>
    <t>28+야장</t>
  </si>
  <si>
    <t>야장 가능 / 주차2대 / 남녀분리 화장실</t>
  </si>
  <si>
    <t>강남구 신사동 662-17</t>
  </si>
  <si>
    <t>아따</t>
  </si>
  <si>
    <t>강남구 신사동 642-9</t>
  </si>
  <si>
    <t>하와이조개</t>
  </si>
  <si>
    <t>내부 공용화장실</t>
  </si>
  <si>
    <t>강남구 신사동 642-17</t>
  </si>
  <si>
    <t>우정소갈비</t>
  </si>
  <si>
    <t>남녀분리 화장실</t>
  </si>
  <si>
    <t>종로구 동숭동 1-33</t>
  </si>
  <si>
    <t>아이스크림가게</t>
  </si>
  <si>
    <t>전면 넓음 / 층고 높음 / 코너</t>
  </si>
  <si>
    <t>종로구 명륜4가 21</t>
  </si>
  <si>
    <t>단독</t>
  </si>
  <si>
    <t>혜화역 대로변 횡단보도 앞</t>
  </si>
  <si>
    <t>종로구 명륜2가 26</t>
  </si>
  <si>
    <t>음식점 외 전업종 협의</t>
  </si>
  <si>
    <t>종로구 명륜2가 28</t>
  </si>
  <si>
    <t>업종협의 / 내부화장실</t>
  </si>
  <si>
    <t>종로구 명륜2가 186-2</t>
  </si>
  <si>
    <t>홍스부대찌개</t>
  </si>
  <si>
    <t>혜화역 도보2분</t>
  </si>
  <si>
    <t>관악구 신림동 517-50</t>
  </si>
  <si>
    <t>코너자리 / 나머지호실 5,000/400</t>
  </si>
  <si>
    <t>영등포구 신길동 236</t>
  </si>
  <si>
    <t>신축건물 2칸</t>
  </si>
  <si>
    <t>힐스테이트클래시안 건너편 / 신축</t>
  </si>
  <si>
    <t>영등포구 신길동 425-3</t>
  </si>
  <si>
    <t>양평해장국</t>
  </si>
  <si>
    <t>23.6평</t>
  </si>
  <si>
    <t>신풍역4번출구 스타벅스 옆 / 초역세권</t>
  </si>
  <si>
    <t>종로구 내수동 4</t>
  </si>
  <si>
    <t>경일사</t>
  </si>
  <si>
    <t>동종업종 불가</t>
  </si>
  <si>
    <t>커피</t>
  </si>
  <si>
    <t>커피매장</t>
  </si>
  <si>
    <t>성남시 중원구 성남동 3141</t>
  </si>
  <si>
    <t>모란역 대로변 / 업종제한 없음</t>
  </si>
  <si>
    <t>성남시 중원구 성남동 3192</t>
  </si>
  <si>
    <t>천하일미</t>
  </si>
  <si>
    <t>30평(실50)</t>
  </si>
  <si>
    <t>모란먹자골목</t>
  </si>
  <si>
    <t>성남시 중원구 하대원동 110-4</t>
  </si>
  <si>
    <t>B1~2층</t>
  </si>
  <si>
    <t>돈사돈</t>
  </si>
  <si>
    <t>140평</t>
  </si>
  <si>
    <t>주차12대</t>
  </si>
  <si>
    <t>성남시 중원구 성남동 3493</t>
  </si>
  <si>
    <t>약국</t>
  </si>
  <si>
    <t>17평</t>
  </si>
  <si>
    <t>모란역 1분</t>
  </si>
  <si>
    <t>성남시 중원구 성남동 3536</t>
  </si>
  <si>
    <t>옛골매울갈비김치찜</t>
  </si>
  <si>
    <t>모란먹자 메인</t>
  </si>
  <si>
    <t>성남시 중원구 성남동 3431</t>
  </si>
  <si>
    <t>소각</t>
  </si>
  <si>
    <t>성남시 중원구 하대원동 100-11</t>
  </si>
  <si>
    <t>일번지한우</t>
  </si>
  <si>
    <t>주차15대</t>
  </si>
  <si>
    <t>성남시 수정구 수진동 4516</t>
  </si>
  <si>
    <t>부동산</t>
  </si>
  <si>
    <t>성남시 수정구 수진동 3011</t>
  </si>
  <si>
    <t>23.5평</t>
  </si>
  <si>
    <t>태평역1분</t>
  </si>
  <si>
    <t>성남시 수정구 수진동 53</t>
  </si>
  <si>
    <t>서울동물병원</t>
  </si>
  <si>
    <t>중앙시장앞</t>
  </si>
  <si>
    <t>성남시 수정구 수진동 10</t>
  </si>
  <si>
    <t>화돌농장</t>
  </si>
  <si>
    <t>47평</t>
  </si>
  <si>
    <t>주차가능</t>
  </si>
  <si>
    <t>안산시 단원구 고잔동 706</t>
  </si>
  <si>
    <t>대로변 노출좋음</t>
  </si>
  <si>
    <t>강남구 신사동 644-13</t>
  </si>
  <si>
    <t>올댓미트</t>
  </si>
  <si>
    <t>강남구 신사동 664</t>
  </si>
  <si>
    <t>압구정영양센터</t>
  </si>
  <si>
    <t>50평+야장</t>
  </si>
  <si>
    <t>압구정로데오역</t>
  </si>
  <si>
    <t>수원시 권선구 고색동 914-18</t>
  </si>
  <si>
    <t>맛에반할소</t>
  </si>
  <si>
    <t>주차50대</t>
  </si>
  <si>
    <t>부천시 소사구 괴안동 127-1</t>
  </si>
  <si>
    <t>조마루뼈다귀</t>
  </si>
  <si>
    <t>역곡역 사거리</t>
  </si>
  <si>
    <t>영등포구 여의도동 36</t>
  </si>
  <si>
    <t>포아시아</t>
  </si>
  <si>
    <t>여의도메인/역세권</t>
  </si>
  <si>
    <t>강남구 역삼동 823-10</t>
  </si>
  <si>
    <t>육전식당</t>
  </si>
  <si>
    <t>강남중형/주차협의</t>
  </si>
  <si>
    <t>강남구 역삼동 738-6</t>
  </si>
  <si>
    <t>옥된장</t>
  </si>
  <si>
    <t>역삼역3분</t>
  </si>
  <si>
    <t>영등포구 여의도동 53-3</t>
  </si>
  <si>
    <t>하라김밥</t>
  </si>
  <si>
    <t>직장인/교회상권</t>
  </si>
  <si>
    <t>강남구 삼성동 143-34</t>
  </si>
  <si>
    <t>선릉고깃집</t>
  </si>
  <si>
    <t>주차2대</t>
  </si>
  <si>
    <t>서초구 서초동 1557-22</t>
  </si>
  <si>
    <t>교대메인코너</t>
  </si>
  <si>
    <t>강남구 역삼동 826-34</t>
  </si>
  <si>
    <t>돈치킨</t>
  </si>
  <si>
    <t>강남역3분</t>
  </si>
  <si>
    <t>서초구 서초동 1510-4</t>
  </si>
  <si>
    <t>권리없음</t>
  </si>
  <si>
    <t>강남구 역삼동 646-14</t>
  </si>
  <si>
    <t>박속낙지</t>
  </si>
  <si>
    <t>역삼역1분</t>
  </si>
  <si>
    <t>강남구 역삼동 738-17</t>
  </si>
  <si>
    <t>아쭈맛나</t>
  </si>
  <si>
    <t>GFC라인</t>
  </si>
  <si>
    <t>은평구 녹번동 161-5</t>
  </si>
  <si>
    <t>제주도그릴</t>
  </si>
  <si>
    <t>역촌역2분</t>
  </si>
  <si>
    <t>귀한족발</t>
  </si>
  <si>
    <t>은평구 갈현동 549</t>
  </si>
  <si>
    <t>모노마트</t>
  </si>
  <si>
    <t>레스토랑전용</t>
  </si>
  <si>
    <t>우리소곰탕</t>
  </si>
  <si>
    <t>주택밀집</t>
  </si>
  <si>
    <t>은평구 응암동 84-13</t>
  </si>
  <si>
    <t>짱드럼통</t>
  </si>
  <si>
    <t>은평구 응암동 84-1</t>
  </si>
  <si>
    <t>세무서옆</t>
  </si>
  <si>
    <t xml:space="preserve">지도 </t>
    <phoneticPr fontId="3" type="noConversion"/>
  </si>
  <si>
    <t>인천 부평구 삼산동 427-1</t>
  </si>
  <si>
    <t>굴포천사거리/음식점가능/고깃집불가</t>
  </si>
  <si>
    <t>강남구 역삼동 701-1</t>
  </si>
  <si>
    <t>수백당</t>
  </si>
  <si>
    <t>무료주차3대</t>
  </si>
  <si>
    <t>은평구 갈현동 550</t>
  </si>
  <si>
    <t>연신내역5분</t>
  </si>
  <si>
    <t>1층만사용불가</t>
  </si>
  <si>
    <t>인천 부평구 산곡동 369-306</t>
  </si>
  <si>
    <t>보증금10%</t>
  </si>
  <si>
    <t>평당6000</t>
  </si>
  <si>
    <t>백운상권/주차가능</t>
  </si>
  <si>
    <t>아웃닭</t>
  </si>
  <si>
    <t>연신내4분</t>
  </si>
  <si>
    <t>서울 은평구 구산동 1-33</t>
  </si>
  <si>
    <t>구피자헛</t>
  </si>
  <si>
    <t>평당2만원</t>
  </si>
  <si>
    <t>구산역대로변</t>
  </si>
  <si>
    <t>단독건물</t>
  </si>
  <si>
    <t>엘베없음</t>
  </si>
  <si>
    <t>토리메로</t>
  </si>
  <si>
    <t>1년후600인상</t>
  </si>
  <si>
    <t>사랑관</t>
  </si>
  <si>
    <t>연신내3분</t>
  </si>
  <si>
    <t>웃는돌참치</t>
  </si>
  <si>
    <t>마르</t>
  </si>
  <si>
    <t>호박</t>
  </si>
  <si>
    <t>인천 서구 가정동 619-1</t>
  </si>
  <si>
    <t>구프랭크버거</t>
  </si>
  <si>
    <t>평당1만원</t>
  </si>
  <si>
    <t>루원씨티</t>
  </si>
  <si>
    <t>카토야라멘</t>
  </si>
  <si>
    <t>호랑이초밥</t>
  </si>
  <si>
    <t>강남구 역삼동 678-2</t>
  </si>
  <si>
    <t>김양</t>
  </si>
  <si>
    <t>역삼5분</t>
  </si>
  <si>
    <t>강남구 역삼동 669-15</t>
  </si>
  <si>
    <t>진대감</t>
  </si>
  <si>
    <t>GS본사먹자</t>
  </si>
  <si>
    <t>강남구 역삼동 719-35</t>
  </si>
  <si>
    <t>카페해온</t>
  </si>
  <si>
    <t>테라스/음식협의</t>
  </si>
  <si>
    <t>은평구 수색동 370-1</t>
  </si>
  <si>
    <t>제일식당</t>
  </si>
  <si>
    <t>수색역대로변</t>
  </si>
  <si>
    <t>은평구 불광동 13-19</t>
  </si>
  <si>
    <t>데일리브레드</t>
  </si>
  <si>
    <t>은평구 불광동 12-2</t>
  </si>
  <si>
    <t>진짬뽕</t>
  </si>
  <si>
    <t>은평구 불광동 316-3</t>
  </si>
  <si>
    <t>주차8대</t>
  </si>
  <si>
    <t>은평구 갈현동 401-14</t>
  </si>
  <si>
    <t>김복남맥주</t>
  </si>
  <si>
    <t>로데오메인</t>
  </si>
  <si>
    <t>은평구 갈현동 456-1</t>
  </si>
  <si>
    <t>슈크림</t>
  </si>
  <si>
    <t>은평구 갈현동 394-30</t>
  </si>
  <si>
    <t>청구성심병원</t>
  </si>
  <si>
    <t>은평구 대조동 12-28</t>
  </si>
  <si>
    <t>신축공실</t>
  </si>
  <si>
    <t>계약면적당2만원</t>
  </si>
  <si>
    <t>불광역앞</t>
  </si>
  <si>
    <t>고양시 덕양구 성사동 291-20</t>
  </si>
  <si>
    <t>한양두루치기</t>
  </si>
  <si>
    <t>한양CC/주차30대</t>
  </si>
  <si>
    <t>은평구 녹번동 35-21</t>
  </si>
  <si>
    <t>서대문구 홍제동 139-22</t>
  </si>
  <si>
    <t>처음본명품민물장어</t>
  </si>
  <si>
    <t>홍제삼거리</t>
  </si>
  <si>
    <t>고양시 덕양구 성사동 11-4</t>
  </si>
  <si>
    <t>테라스60평</t>
  </si>
  <si>
    <t>고양시 덕양구 삼송동 347-1</t>
  </si>
  <si>
    <t>원흥역대로변</t>
  </si>
  <si>
    <t>지도 바로가기</t>
  </si>
  <si>
    <t>인천시 계양구 계산동 1080-8</t>
  </si>
  <si>
    <t>평당7000</t>
  </si>
  <si>
    <t>테라스/계양구청상권/가시성좋음</t>
  </si>
  <si>
    <t>경기 군포시 산본동 1129-2</t>
  </si>
  <si>
    <t>산본먹자/가시성좋음</t>
  </si>
  <si>
    <t>은평구 녹번동 182</t>
  </si>
  <si>
    <t>은평구 갈현동 393-8</t>
  </si>
  <si>
    <t>태황정육식당</t>
  </si>
  <si>
    <t>은평구 갈현동 402-26</t>
  </si>
  <si>
    <t>은평구 불광동 102-18</t>
  </si>
  <si>
    <t>청보석</t>
  </si>
  <si>
    <t>은평구 불광동 281-113</t>
  </si>
  <si>
    <t>방배동할매쭈꾸미</t>
  </si>
  <si>
    <t>은평구 불광동 281-136</t>
  </si>
  <si>
    <t>장충당</t>
  </si>
  <si>
    <t>은평구 대조동 48-40</t>
  </si>
  <si>
    <t>차이찬</t>
  </si>
  <si>
    <t>은평구 녹번동 80-31</t>
  </si>
  <si>
    <t>금돈</t>
  </si>
  <si>
    <t>은평구 녹번동 118-1</t>
  </si>
  <si>
    <t>(구)시골밥상</t>
  </si>
  <si>
    <t>은평구 역촌동 3-12</t>
  </si>
  <si>
    <t>전주식당</t>
  </si>
  <si>
    <t>이디야커피</t>
  </si>
  <si>
    <t>은평구 역촌동 8-38</t>
  </si>
  <si>
    <t>토모바이크</t>
  </si>
  <si>
    <t>은평구 신사동 162</t>
  </si>
  <si>
    <t>짜잔</t>
  </si>
  <si>
    <t>은평구 응암동 110-4</t>
  </si>
  <si>
    <t>비어</t>
  </si>
  <si>
    <t>은평구 응암동 86-8</t>
  </si>
  <si>
    <t>정소갈비</t>
  </si>
  <si>
    <t>(구)농협</t>
  </si>
  <si>
    <t>인천 서구 불로동 1009-1</t>
  </si>
  <si>
    <t>역세권/노출굿</t>
  </si>
  <si>
    <t>인천 남동구 간석동 915-6</t>
  </si>
  <si>
    <t>(구)세븐</t>
  </si>
  <si>
    <t>인천 남동구 간석동 915-5</t>
  </si>
  <si>
    <t>우리동네삼겹</t>
  </si>
  <si>
    <t>사거리노출/데크사용/남녀화장실</t>
  </si>
  <si>
    <t>인천 부평구 청천동 15-30</t>
  </si>
  <si>
    <t>배후1만세대</t>
  </si>
  <si>
    <t>인천 계양구 계산동 1076-12</t>
  </si>
  <si>
    <t>원조쌈밥집</t>
  </si>
  <si>
    <t>인천 계양구 계산동 1063-2</t>
  </si>
  <si>
    <t>인천 계양구 작전동 854-14</t>
  </si>
  <si>
    <t>해바라기정육식당</t>
  </si>
  <si>
    <t>시장입구코너</t>
  </si>
  <si>
    <t>인천 서구 석남동 539-7</t>
  </si>
  <si>
    <t>석남역메인</t>
  </si>
  <si>
    <t>인천 서구 심곡동 280-4</t>
  </si>
  <si>
    <t>고기스타</t>
  </si>
  <si>
    <t>서구청메인</t>
  </si>
  <si>
    <t>인천 서구 가좌동 75-1</t>
  </si>
  <si>
    <t>장어집</t>
  </si>
  <si>
    <t>인천 부평구 청천동 191-33</t>
  </si>
  <si>
    <t>청천화로가</t>
  </si>
  <si>
    <t>GM공장앞</t>
  </si>
  <si>
    <t>인천 부평구 삼산동 427-8</t>
  </si>
  <si>
    <t>감동정육식당</t>
  </si>
  <si>
    <t>삼산사거리/대로변</t>
  </si>
  <si>
    <t>화성시 병점동 844-2</t>
  </si>
  <si>
    <t>대로변/광고효과/중심상가 유동多</t>
  </si>
  <si>
    <t>화성시 진안동 877-8</t>
  </si>
  <si>
    <t>화로271</t>
  </si>
  <si>
    <t>핫플골목/새벽상권</t>
  </si>
  <si>
    <t>화성시 진안동 881-1</t>
  </si>
  <si>
    <t>더회</t>
  </si>
  <si>
    <t>화성시 진안동 877-1</t>
  </si>
  <si>
    <t>화성시 진안동 876-1</t>
  </si>
  <si>
    <t>치킨인류</t>
  </si>
  <si>
    <t>인천 계양구 용종동 210-4</t>
  </si>
  <si>
    <t>평당1만</t>
  </si>
  <si>
    <t>계양구청 먹자메인/임대료저렴</t>
  </si>
  <si>
    <t>인천 계양구 용종동 211-8</t>
  </si>
  <si>
    <t>S라인바</t>
  </si>
  <si>
    <t>인천 계양구 용종동 211-6</t>
  </si>
  <si>
    <t>공실(구노래방)</t>
  </si>
  <si>
    <t>인천 계양구 계산동 1081-4</t>
  </si>
  <si>
    <t>흑염소</t>
  </si>
  <si>
    <t>인천 계양구 계산동 1081-10</t>
  </si>
  <si>
    <t>H bar</t>
  </si>
  <si>
    <t>(대안) 보증금2000/월120</t>
  </si>
  <si>
    <t>짬뽕에반하다</t>
  </si>
  <si>
    <t>권리=이사비용정도</t>
  </si>
  <si>
    <t>인천 계양구 용종동 209+6</t>
  </si>
  <si>
    <t>감골오리</t>
  </si>
  <si>
    <t>냉난방/온수기 시설양호</t>
  </si>
  <si>
    <t>서초구 방배동 985-13</t>
  </si>
  <si>
    <t>내부창고</t>
  </si>
  <si>
    <t>서초구 방배동 985-2</t>
  </si>
  <si>
    <t>함포해장</t>
  </si>
  <si>
    <t>서초구 방배동 923-6</t>
  </si>
  <si>
    <t>신참떡볶이</t>
  </si>
  <si>
    <t>강동구 상일동 256</t>
  </si>
  <si>
    <t>오손도손연탄화덕구이</t>
  </si>
  <si>
    <t>화성시 진안동 913</t>
  </si>
  <si>
    <t>보승회관</t>
  </si>
  <si>
    <t>강동구 명일동 48-5</t>
  </si>
  <si>
    <t>가마솥순대국밥</t>
  </si>
  <si>
    <t>고덕역 학원가 먹자라인/노출좋음</t>
  </si>
  <si>
    <t>강동구 둔촌동 105-10</t>
  </si>
  <si>
    <t>착한낙지</t>
  </si>
  <si>
    <t>전면주차30대/외식최고자리</t>
  </si>
  <si>
    <t>화성시 동탄구 영천동 804-6</t>
  </si>
  <si>
    <t>신축(건너편)</t>
  </si>
  <si>
    <t>공영주차장/향후공원</t>
  </si>
  <si>
    <t>화성시 동탄구 영천동 792-1</t>
  </si>
  <si>
    <t>뽕사부</t>
  </si>
  <si>
    <t>(+지하20)/도로변노출</t>
  </si>
  <si>
    <t>인천 부평구 청천동 440-4</t>
  </si>
  <si>
    <t>남광센트렉스</t>
  </si>
  <si>
    <t>갈산역/공업단지+주거밀집/대로변</t>
  </si>
  <si>
    <t>군포시 산본동 1142-2</t>
  </si>
  <si>
    <t>청도미나리식당</t>
  </si>
  <si>
    <t>주차편리/병원+오피스텔</t>
  </si>
  <si>
    <t>군포시 금정동 874</t>
  </si>
  <si>
    <t>군포시 산본동 1128-1</t>
  </si>
  <si>
    <t>고칸</t>
  </si>
  <si>
    <t>(복층5 포함)</t>
  </si>
  <si>
    <t>김포시 마산동 650-2</t>
  </si>
  <si>
    <t>마포구 아현동 331-6</t>
  </si>
  <si>
    <t>대가설렁탕</t>
  </si>
  <si>
    <t>주차1/엘베/남녀화장실</t>
  </si>
  <si>
    <t>서대문구 연희동 121-14</t>
  </si>
  <si>
    <t>대로변/주차1~3</t>
  </si>
  <si>
    <t>서대문구 연희동 76-24</t>
  </si>
  <si>
    <t>원복(구어구생)</t>
  </si>
  <si>
    <t>내부화장실/주차</t>
  </si>
  <si>
    <t>서대문구 연희동 78-20</t>
  </si>
  <si>
    <t>지호한방삼계탕</t>
  </si>
  <si>
    <t>통임대/주차/남녀화장실</t>
  </si>
  <si>
    <t>서대문구 연희동 81-11</t>
  </si>
  <si>
    <t>대로변/주차5</t>
  </si>
  <si>
    <t>서대문구 연희동 287-16</t>
  </si>
  <si>
    <t>공실(구이마트24)</t>
  </si>
  <si>
    <t>교차로/연대서문초입/내부화장실</t>
  </si>
  <si>
    <t>서대문구 홍은동 464</t>
  </si>
  <si>
    <t>짬뽕관</t>
  </si>
  <si>
    <t>단지내/전면대로변</t>
  </si>
  <si>
    <t>서대문구 홍은동 217-30</t>
  </si>
  <si>
    <t>서대문구 홍은동 294-36</t>
  </si>
  <si>
    <t>샤트렌</t>
  </si>
  <si>
    <t>서대문구 홍제동 305-3</t>
  </si>
  <si>
    <t>늘봄축산</t>
  </si>
  <si>
    <t>3/3까지 철거</t>
  </si>
  <si>
    <t>공실(구티월드)</t>
  </si>
  <si>
    <t>홍제역앞/버스정류장</t>
  </si>
  <si>
    <t>마포구 도화동 204-9</t>
  </si>
  <si>
    <t>서경도락</t>
  </si>
  <si>
    <t>마포역5분/대로변/주차</t>
  </si>
  <si>
    <t>마포구 망원동 453-39</t>
  </si>
  <si>
    <t>망원한강초입/공영주차장</t>
  </si>
  <si>
    <t>은평구 대조동 179-48</t>
  </si>
  <si>
    <t>역촌역가까움</t>
  </si>
  <si>
    <t>은평구 응암동 584-37</t>
  </si>
  <si>
    <t>마포구 상암동 115-10</t>
  </si>
  <si>
    <t>1층26/2층28, 내부계단, 남녀화장실</t>
  </si>
  <si>
    <t>마포구 상암동 30-2</t>
  </si>
  <si>
    <t>버스정류장앞/주차편리</t>
  </si>
  <si>
    <t>마포구 상암동 40-2</t>
  </si>
  <si>
    <t>경성중고사거리 대로변/주차가능</t>
  </si>
  <si>
    <t>은평구 응암동 592-62</t>
  </si>
  <si>
    <t>하음모터스</t>
  </si>
  <si>
    <t>카페추천</t>
  </si>
  <si>
    <t>바다슈퍼</t>
  </si>
  <si>
    <t>화장실1개</t>
  </si>
  <si>
    <t>은평구 응암동 110-13</t>
  </si>
  <si>
    <t>수암골쪽갈비</t>
  </si>
  <si>
    <t>주차4대</t>
  </si>
  <si>
    <t>황금숯불갈비</t>
  </si>
  <si>
    <t>야장약4평 가능</t>
  </si>
  <si>
    <t>은평구 응암동 577-40</t>
  </si>
  <si>
    <t>응암오거리 대로변/깨끗한업종만</t>
  </si>
  <si>
    <t>은평구 응암동 577-30</t>
  </si>
  <si>
    <t>인생극장</t>
  </si>
  <si>
    <t>(+야장5/창고)</t>
  </si>
  <si>
    <t>은평구 응암동 595-53</t>
  </si>
  <si>
    <t>시골영양탕</t>
  </si>
  <si>
    <t>주차4~5대</t>
  </si>
  <si>
    <t>은평구 신사동 35-20</t>
  </si>
  <si>
    <t>새절역사거리/도보1분</t>
  </si>
  <si>
    <t>목구멍</t>
  </si>
  <si>
    <t>은평구 신사동 34-8</t>
  </si>
  <si>
    <t>효면옥</t>
  </si>
  <si>
    <t>1층관리실+필로티주차</t>
  </si>
  <si>
    <t>은평구 대조동 45</t>
  </si>
  <si>
    <t>1층60/2층50</t>
  </si>
  <si>
    <t>은평구 불광동 290-12 (앞)</t>
  </si>
  <si>
    <t>공실(앞)</t>
  </si>
  <si>
    <t>은평구 불광동 290-12 (뒤)</t>
  </si>
  <si>
    <t>공실(뒤)</t>
  </si>
  <si>
    <t>타이반쩜</t>
  </si>
  <si>
    <t>인천 계양구 용종동 212-5</t>
  </si>
  <si>
    <t>태능장인갈비</t>
  </si>
  <si>
    <t>사거리 코너</t>
  </si>
  <si>
    <t>인천 계양구 용종동 212-4</t>
  </si>
  <si>
    <t>더고기창고</t>
  </si>
  <si>
    <t>시설양호/인테리어1.8억</t>
  </si>
  <si>
    <t>은평구 구산동 1-24</t>
  </si>
  <si>
    <t>2층(일부)</t>
  </si>
  <si>
    <t>주차장보유/건물전체 장사잘됨</t>
  </si>
  <si>
    <t>군포시 산본동 1134-2</t>
  </si>
  <si>
    <t>타고비</t>
  </si>
  <si>
    <t>마포구 합정동 362-8</t>
  </si>
  <si>
    <t>합정역6분/주차2대/외부화장실</t>
  </si>
  <si>
    <t>마포구 서교동 396-46</t>
  </si>
  <si>
    <t>조개우물보쌈</t>
  </si>
  <si>
    <t>마포구 합정동 354-22</t>
  </si>
  <si>
    <t>2층전체+루프탑</t>
  </si>
  <si>
    <t>38평+루프탑10</t>
  </si>
  <si>
    <t>텐무스봉봉</t>
  </si>
  <si>
    <t>마포구 상수동 309-2</t>
  </si>
  <si>
    <t>1층20/2층20/이자카야가능</t>
  </si>
  <si>
    <t>마포구 서교동 366-25</t>
  </si>
  <si>
    <t>지층~1층</t>
  </si>
  <si>
    <t>(구)열정</t>
  </si>
  <si>
    <t>상상마당인근/남녀화장실/주차2</t>
  </si>
  <si>
    <t>마포구 성산동 263-4</t>
  </si>
  <si>
    <t>팔팔따구탕</t>
  </si>
  <si>
    <t>마포구청역3분/주차가능</t>
  </si>
  <si>
    <t>마포구 망원동 379-3</t>
  </si>
  <si>
    <t>망원숯불갈비</t>
  </si>
  <si>
    <t>마포구 망원동 379-7</t>
  </si>
  <si>
    <t>래래원</t>
  </si>
  <si>
    <t>마포구 합정동 427-3</t>
  </si>
  <si>
    <t>다사랑치킨피자</t>
  </si>
  <si>
    <t>합정대로변 코너</t>
  </si>
  <si>
    <t>마포구 합정동 426-20</t>
  </si>
  <si>
    <t>숯닭</t>
  </si>
  <si>
    <t>합정역5분/주상복합상가</t>
  </si>
  <si>
    <t>마포구 망원동 477-12</t>
  </si>
  <si>
    <t>엄마손쌈밥집</t>
  </si>
  <si>
    <t>마포구청역4분/주차가능</t>
  </si>
  <si>
    <t>마포구 망원동 378-13</t>
  </si>
  <si>
    <t>일번지대박집</t>
  </si>
  <si>
    <t>망원역/망원시장인근</t>
  </si>
  <si>
    <t>마포구 구수동 14</t>
  </si>
  <si>
    <t>도마다리감자탕</t>
  </si>
  <si>
    <t>광흥창역초역세권</t>
  </si>
  <si>
    <t>마포구 신정동 28-2</t>
  </si>
  <si>
    <t>채선당</t>
  </si>
  <si>
    <t>대단지아파트/주차여유</t>
  </si>
  <si>
    <t>수원시 권선구 탑동 356-8</t>
  </si>
  <si>
    <t>수원먹자/대로변/시설완비</t>
  </si>
  <si>
    <t>안산 단원구 선부광장북로36</t>
  </si>
  <si>
    <t>상가동</t>
  </si>
  <si>
    <t>안산 단원구 선부동 1188</t>
  </si>
  <si>
    <t>아파트밀집</t>
  </si>
  <si>
    <t>안산 초지동 803</t>
  </si>
  <si>
    <t>안산 선부동 1081</t>
  </si>
  <si>
    <t>중앙역메인</t>
  </si>
  <si>
    <t>부천 중동 1140-4</t>
  </si>
  <si>
    <t>시흥 장곡동 904-2</t>
  </si>
  <si>
    <t>경찰서대로변</t>
  </si>
  <si>
    <t>김포 장기동 1911-4</t>
  </si>
  <si>
    <t>장기역/대로변</t>
  </si>
  <si>
    <t>김포 풍무로104</t>
  </si>
  <si>
    <t>동경규동</t>
  </si>
  <si>
    <t>안산 고잔동 531-2</t>
  </si>
  <si>
    <t>효자동보리밥</t>
  </si>
  <si>
    <t>안산 고잔동 732-2</t>
  </si>
  <si>
    <t>티윅스커피</t>
  </si>
  <si>
    <t>중앙역</t>
  </si>
  <si>
    <t>마포 성산동 263-4</t>
  </si>
  <si>
    <t>88따구탕</t>
  </si>
  <si>
    <t>마포 성산동 260-8</t>
  </si>
  <si>
    <t>베이직치킨</t>
  </si>
  <si>
    <t>강남 대치동 936-25</t>
  </si>
  <si>
    <t>2칸</t>
  </si>
  <si>
    <t>하남 창우동 51-59</t>
  </si>
  <si>
    <t>밥상천하</t>
  </si>
  <si>
    <t>대형</t>
  </si>
  <si>
    <t>강남 대치동 1021-14</t>
  </si>
  <si>
    <t>커피볶는집</t>
  </si>
  <si>
    <t>강남 대치동 932-4</t>
  </si>
  <si>
    <t>위대한물리</t>
  </si>
  <si>
    <t>강남 대치동 938</t>
  </si>
  <si>
    <t>스위시</t>
  </si>
  <si>
    <t>한티역</t>
  </si>
  <si>
    <t>강남 대치동 1019-13</t>
  </si>
  <si>
    <t>아마스빈</t>
  </si>
  <si>
    <t>강남 대치동 990</t>
  </si>
  <si>
    <t>몬스터차저</t>
  </si>
  <si>
    <t>은마북문</t>
  </si>
  <si>
    <t>강남 대치동 916-24</t>
  </si>
  <si>
    <t>미쓰제육</t>
  </si>
  <si>
    <t>마포 아현동 395-1</t>
  </si>
  <si>
    <t>예가숯불갈비</t>
  </si>
  <si>
    <t>애오개</t>
  </si>
  <si>
    <t>마포 용강동 38-1</t>
  </si>
  <si>
    <t>한양숙육</t>
  </si>
  <si>
    <t>강남 역삼동 673-27</t>
  </si>
  <si>
    <t>미몽</t>
  </si>
  <si>
    <t>안산 고잔동 541-1</t>
  </si>
  <si>
    <t>동성부동산</t>
  </si>
  <si>
    <t>안산 고잔동 540-14</t>
  </si>
  <si>
    <t>강남 신사동 664-7</t>
  </si>
  <si>
    <t>골든쉴드</t>
  </si>
  <si>
    <t>강남구 신사동 657-26</t>
  </si>
  <si>
    <t>거북선닭꼬치</t>
  </si>
  <si>
    <t>강남구 신사동 657-6</t>
  </si>
  <si>
    <t>캐릭터옷가게</t>
  </si>
  <si>
    <t>강남구 신사동 642-10</t>
  </si>
  <si>
    <t>향수집</t>
  </si>
  <si>
    <t>마포구 합정동 433-5</t>
  </si>
  <si>
    <t>더오리지널바먼트델리</t>
  </si>
  <si>
    <t>마포구 서교동 465-11</t>
  </si>
  <si>
    <t>우미담</t>
  </si>
  <si>
    <t>마포구 상수동 86-35</t>
  </si>
  <si>
    <t>마포구 서교동 463-28</t>
  </si>
  <si>
    <t>강남구 대치동 941</t>
  </si>
  <si>
    <t>아마당</t>
  </si>
  <si>
    <t>강남구 역삼동 678-33</t>
  </si>
  <si>
    <t>주차1</t>
  </si>
  <si>
    <t>강남구 역삼동 641-10</t>
  </si>
  <si>
    <t>테라스32</t>
  </si>
  <si>
    <t>강남구 대치동 896-3</t>
  </si>
  <si>
    <t>회장님댁</t>
  </si>
  <si>
    <t>강남구 대치동 898-15</t>
  </si>
  <si>
    <t>진주가든</t>
  </si>
  <si>
    <t>급매</t>
  </si>
  <si>
    <t>강남구 역삼동 678-24</t>
  </si>
  <si>
    <t>강남구 대치동 935-36</t>
  </si>
  <si>
    <t>노란고무줄버블티</t>
  </si>
  <si>
    <t>강남구 대치동 938</t>
  </si>
  <si>
    <t>강남구 대치동 936-4</t>
  </si>
  <si>
    <t>한가닭</t>
  </si>
  <si>
    <t>강남구 역삼동 817-14</t>
  </si>
  <si>
    <t>신축</t>
  </si>
  <si>
    <t>강남구 역삼동 619-26</t>
  </si>
  <si>
    <t>단골손님</t>
  </si>
  <si>
    <t>강남구 역삼동 619-15</t>
  </si>
  <si>
    <t>맘스터치</t>
  </si>
  <si>
    <t>먹자라인</t>
  </si>
  <si>
    <t>강남구 역삼동 818-5</t>
  </si>
  <si>
    <t>강남비치호프</t>
  </si>
  <si>
    <t>강남구 역삼동 618-3</t>
  </si>
  <si>
    <t>옥상</t>
  </si>
  <si>
    <t>강남구 역삼동 817</t>
  </si>
  <si>
    <t>니뽕내뽕</t>
  </si>
  <si>
    <t>강남구 역삼동 619-6</t>
  </si>
  <si>
    <t>강남구 역삼동 809-6</t>
  </si>
  <si>
    <t>바다해장집</t>
  </si>
  <si>
    <t>강남구 역삼동 810-11</t>
  </si>
  <si>
    <t>강남구 역삼동 812-18</t>
  </si>
  <si>
    <t>까페혼화</t>
  </si>
  <si>
    <t>강남구 역삼동 813-15</t>
  </si>
  <si>
    <t>강남커피</t>
  </si>
  <si>
    <t>강남구 역삼동 817-19</t>
  </si>
  <si>
    <t>솔솥</t>
  </si>
  <si>
    <t>강남구 역삼동 817-31</t>
  </si>
  <si>
    <t>2~3층</t>
  </si>
  <si>
    <t>홍대주막</t>
  </si>
  <si>
    <t>강남구 역삼동 817-38</t>
  </si>
  <si>
    <t>테라스</t>
  </si>
  <si>
    <t>강남구 역삼동 818-3</t>
  </si>
  <si>
    <t>강남구 역삼동 819-6</t>
  </si>
  <si>
    <t>마포구 서교동 395-153</t>
  </si>
  <si>
    <t>합정역2분</t>
  </si>
  <si>
    <t>3층</t>
  </si>
  <si>
    <t>마포구 동교동 169-16</t>
  </si>
  <si>
    <t>성남시 수정구 창곡동 559-10</t>
  </si>
  <si>
    <t>평당25000</t>
  </si>
  <si>
    <t>남위례역</t>
  </si>
  <si>
    <t>성남시 수정구 창곡동 559-8</t>
  </si>
  <si>
    <t>성희프라자</t>
  </si>
  <si>
    <t>마포구 동교동 155-19</t>
  </si>
  <si>
    <t>마포구 서교동 331-13</t>
  </si>
  <si>
    <t>백업</t>
  </si>
  <si>
    <t>홍대역</t>
  </si>
  <si>
    <t>마포구 서교동 383-41</t>
  </si>
  <si>
    <t>마포구 서교동 354-8</t>
  </si>
  <si>
    <t>마포구 서교동 391-17 인근</t>
  </si>
  <si>
    <t>마포구 망원동 386-12</t>
  </si>
  <si>
    <t>카페하모니</t>
  </si>
  <si>
    <t>통건물</t>
  </si>
  <si>
    <t>서대문구 창천동 72-34</t>
  </si>
  <si>
    <t>마포구 동교동 113-22</t>
  </si>
  <si>
    <t>미로길</t>
  </si>
  <si>
    <t>안산 상록구 이동 716-12</t>
  </si>
  <si>
    <t>한대앞</t>
  </si>
  <si>
    <t>마포구 서교동 327-14</t>
  </si>
  <si>
    <t>산울림</t>
  </si>
  <si>
    <t>마포구 서교동 336-1</t>
  </si>
  <si>
    <t>비트포비아</t>
  </si>
  <si>
    <t>1.5층</t>
  </si>
  <si>
    <t>마포구 서교동 346-34</t>
  </si>
  <si>
    <t>옷가게</t>
  </si>
  <si>
    <t>걷고싶은거리</t>
  </si>
  <si>
    <t>마포구 서교동 342-12</t>
  </si>
  <si>
    <t>영등포구 여의도동 53-11</t>
  </si>
  <si>
    <t>즉떡</t>
  </si>
  <si>
    <t>원복</t>
  </si>
  <si>
    <t>영등포구 여의도동 44-2</t>
  </si>
  <si>
    <t>마케집</t>
  </si>
  <si>
    <t>영등포구 여의도동 44-21</t>
  </si>
  <si>
    <t>중앙빌딩</t>
  </si>
  <si>
    <t>포메인</t>
  </si>
  <si>
    <t>주차</t>
  </si>
  <si>
    <t>마포구 서교동 358-34</t>
  </si>
  <si>
    <t>타코부스</t>
  </si>
  <si>
    <t>영등포구 여의도동 43-4</t>
  </si>
  <si>
    <t>아이비</t>
  </si>
  <si>
    <t>식당가</t>
  </si>
  <si>
    <t>영등포구 여의도동 45-15</t>
  </si>
  <si>
    <t>서린</t>
  </si>
  <si>
    <t>메인</t>
  </si>
  <si>
    <t>종로구 관철동 10-1</t>
  </si>
  <si>
    <t>서울익스프레스88</t>
  </si>
  <si>
    <t>종각</t>
  </si>
  <si>
    <t>영등포구 여의도동 23-10</t>
  </si>
  <si>
    <t>빌리엔젤</t>
  </si>
  <si>
    <t>IFC 맞은편, 노출최상</t>
  </si>
  <si>
    <t>영등포구 여의도동 45-3</t>
  </si>
  <si>
    <t>오피스디포</t>
  </si>
  <si>
    <t>농협캐피탈빌딩, KBS별관 앞</t>
  </si>
  <si>
    <t>영등포구 여의도동 25</t>
  </si>
  <si>
    <t>바른고기정육점</t>
  </si>
  <si>
    <t>씨티플라자, 증권가 중심</t>
  </si>
  <si>
    <t>영등포구 여의도동 44-23</t>
  </si>
  <si>
    <t>식당가 밀집</t>
  </si>
  <si>
    <t>종로구 관철동 14-6</t>
  </si>
  <si>
    <t>칼누들바</t>
  </si>
  <si>
    <t>종각 먹자상권</t>
  </si>
  <si>
    <t>종로구 관철동 10-2</t>
  </si>
  <si>
    <t>종각 메인</t>
  </si>
  <si>
    <t>마포구 동교동 169-6</t>
  </si>
  <si>
    <t>바다나라</t>
  </si>
  <si>
    <t>홍대</t>
  </si>
  <si>
    <t>마포구 서교동 366-19</t>
  </si>
  <si>
    <t>디팍스</t>
  </si>
  <si>
    <t>종로구 관철동 19-11</t>
  </si>
  <si>
    <t>철거완료</t>
  </si>
  <si>
    <t>중구 을지로3가 334-20</t>
  </si>
  <si>
    <t>라온라이팅</t>
  </si>
  <si>
    <t>층별16평</t>
  </si>
  <si>
    <t>서초구 서초동 1306-4</t>
  </si>
  <si>
    <t>강남역10번 메인라인</t>
  </si>
  <si>
    <t>서초구 서초동 1308</t>
  </si>
  <si>
    <t>홍미닭발</t>
  </si>
  <si>
    <t>외부화장실 / LPG</t>
  </si>
  <si>
    <t>강남구 대치동 911-13</t>
  </si>
  <si>
    <t>미아리우동집</t>
  </si>
  <si>
    <t>강남구 대치동 912-21</t>
  </si>
  <si>
    <t>소운나김밥</t>
  </si>
  <si>
    <t>월세인상 가능</t>
  </si>
  <si>
    <t>강남구 역삼동 601-12</t>
  </si>
  <si>
    <t>서초구 서초동 1639-9</t>
  </si>
  <si>
    <t>구 오장동면옥</t>
  </si>
  <si>
    <t>서초구 서초동 1669-3</t>
  </si>
  <si>
    <t>어반스콘</t>
  </si>
  <si>
    <t>구 바나프레소</t>
  </si>
  <si>
    <t>서초구 서초동 1557-6</t>
  </si>
  <si>
    <t>샵오픽</t>
  </si>
  <si>
    <t>복층9평 / 층고5.2</t>
  </si>
  <si>
    <t>강남구 역삼동 823-16</t>
  </si>
  <si>
    <t>보울박스</t>
  </si>
  <si>
    <t>직장인 상권</t>
  </si>
  <si>
    <t>서초구 서초동 1327-27</t>
  </si>
  <si>
    <t>순대생각</t>
  </si>
  <si>
    <t>확장2평</t>
  </si>
  <si>
    <t>서초구 서초동 1365-8</t>
  </si>
  <si>
    <t>우원돈까스</t>
  </si>
  <si>
    <t>주차1대</t>
  </si>
  <si>
    <t>화성시 새솔동 76-5</t>
  </si>
  <si>
    <t>훌랄라</t>
  </si>
  <si>
    <t>강남구 역삼동 825-1</t>
  </si>
  <si>
    <t>협의</t>
  </si>
  <si>
    <t>강남역1분 / 단독출입구 / 주차1</t>
  </si>
  <si>
    <t>강남구 역삼동 820-2</t>
  </si>
  <si>
    <t>수지상회</t>
  </si>
  <si>
    <t>강남역11번 메인</t>
  </si>
  <si>
    <t>서초구 서초동 1309-9</t>
  </si>
  <si>
    <t>신논현3분 / 주차112</t>
  </si>
  <si>
    <t>서초구 서초동 1302-24</t>
  </si>
  <si>
    <t>효은옥</t>
  </si>
  <si>
    <t>교보타워</t>
  </si>
  <si>
    <t>강남구 역삼동 813-18</t>
  </si>
  <si>
    <t>CGV뒤</t>
  </si>
  <si>
    <t>부평구 부평동 185-25</t>
  </si>
  <si>
    <t>노브랜드</t>
  </si>
  <si>
    <t>부평역</t>
  </si>
  <si>
    <t>부평구 부평동 159-20</t>
  </si>
  <si>
    <t>대창집</t>
  </si>
  <si>
    <t>부평구 부평동 155-35</t>
  </si>
  <si>
    <t>꼼장어</t>
  </si>
  <si>
    <t>앞5평</t>
  </si>
  <si>
    <t>내부화장실</t>
  </si>
  <si>
    <t>강남구 역삼동 830-41</t>
  </si>
  <si>
    <t>풍년닭도리탕</t>
  </si>
  <si>
    <t>메인라인</t>
  </si>
  <si>
    <t>고양시 덕양구 화정동 968-1</t>
  </si>
  <si>
    <t>속초어시장</t>
  </si>
  <si>
    <t>덕양구청 앞</t>
  </si>
  <si>
    <t>인천 부평구 부평동 193-14</t>
  </si>
  <si>
    <t>삼대식당</t>
  </si>
  <si>
    <t>인천 부평구 부평동 210-51</t>
  </si>
  <si>
    <t>돌업케이크</t>
  </si>
  <si>
    <t>인천 부평구 부평동 193-29</t>
  </si>
  <si>
    <t>유키모찌</t>
  </si>
  <si>
    <t>인천 부평구 부평동 185-25</t>
  </si>
  <si>
    <t>노브랜드버거</t>
  </si>
  <si>
    <t>인천 부평구 부평동 153-13</t>
  </si>
  <si>
    <t>상구네솥뚜껑삼겹</t>
  </si>
  <si>
    <t>테마거리</t>
  </si>
  <si>
    <t>서초구 서초동 1577-1</t>
  </si>
  <si>
    <t>국밥대장</t>
  </si>
  <si>
    <t>교대역3분</t>
  </si>
  <si>
    <t>인천 부평구 부평동 153-4</t>
  </si>
  <si>
    <t>부평포구횟집</t>
  </si>
  <si>
    <t>메인상권</t>
  </si>
  <si>
    <t>고양시 덕양구 성사동 128-2</t>
  </si>
  <si>
    <t>염소뜰에</t>
  </si>
  <si>
    <t>고양시 덕양구 화정동 975</t>
  </si>
  <si>
    <t>흑돈연가</t>
  </si>
  <si>
    <t>인천 부평구 부평동 194-9</t>
  </si>
  <si>
    <t>티월드</t>
  </si>
  <si>
    <t>인천 부평구 부평동 199-40</t>
  </si>
  <si>
    <t>계양구 효성동 690</t>
  </si>
  <si>
    <t>코너자리</t>
  </si>
  <si>
    <t>버스정류장 코너</t>
  </si>
  <si>
    <t>아파트입구</t>
  </si>
  <si>
    <t>계양구 효성동 77-5</t>
  </si>
  <si>
    <t>샤브부대찌개</t>
  </si>
  <si>
    <t>작전역</t>
  </si>
  <si>
    <t>계양구 효성동 549-2</t>
  </si>
  <si>
    <t>공장밀집</t>
  </si>
  <si>
    <t>부평구 부평동 507-1</t>
  </si>
  <si>
    <t>부평구 부평동 206-19</t>
  </si>
  <si>
    <t>가야밀면</t>
  </si>
  <si>
    <t>부평구 부평동 542-76</t>
  </si>
  <si>
    <t>7곡제면소</t>
  </si>
  <si>
    <t>부평구 부평동 152-1</t>
  </si>
  <si>
    <t>닭볶음탕</t>
  </si>
  <si>
    <t>부천 중동 1136</t>
  </si>
  <si>
    <t>호랭이집</t>
  </si>
  <si>
    <t>부천 중동 1138</t>
  </si>
  <si>
    <t>한우짝갈비</t>
  </si>
  <si>
    <t>후통</t>
  </si>
  <si>
    <t>부천 중동 1062-4</t>
  </si>
  <si>
    <t>문화조명</t>
  </si>
  <si>
    <t>안산 고잔동 770</t>
  </si>
  <si>
    <t>꾸석지한우</t>
  </si>
  <si>
    <t>사리골 코너</t>
  </si>
  <si>
    <t>꾸석지+붐박스</t>
  </si>
  <si>
    <t>안산 고잔동 771</t>
  </si>
  <si>
    <t>헬로에스프레소</t>
  </si>
  <si>
    <t>안산 고잔동 770-13</t>
  </si>
  <si>
    <t>달래해장</t>
  </si>
  <si>
    <t>와참치</t>
  </si>
  <si>
    <t>안산 고잔동 771-1</t>
  </si>
  <si>
    <t>상록회관</t>
  </si>
  <si>
    <t>안산 고잔동 772-2</t>
  </si>
  <si>
    <t>뼈구이집</t>
  </si>
  <si>
    <t>안산 고잔동 773-6</t>
  </si>
  <si>
    <t>제주모다드렁</t>
  </si>
  <si>
    <t>안산 고잔동 775-4</t>
  </si>
  <si>
    <t>마마쿡</t>
  </si>
  <si>
    <t>안산 고잔동 726-8</t>
  </si>
  <si>
    <t>자담치킨</t>
  </si>
  <si>
    <t>안산 고잔동 705-11</t>
  </si>
  <si>
    <t>오늘은국밥</t>
  </si>
  <si>
    <t>안산 고잔동 707-3</t>
  </si>
  <si>
    <t>훈샤브</t>
  </si>
  <si>
    <t>드림디포</t>
  </si>
  <si>
    <t>안산 단원구 고잔동 705-7</t>
  </si>
  <si>
    <t>골프뱅크</t>
  </si>
  <si>
    <t>2층42평 추가</t>
  </si>
  <si>
    <t>안산 단원구 고잔동 533-2</t>
  </si>
  <si>
    <t>롯데백화점</t>
  </si>
  <si>
    <t>안산 단원구 고잔동 537-2</t>
  </si>
  <si>
    <t>안산 단원구 고잔동 541</t>
  </si>
  <si>
    <t>신의주순대</t>
  </si>
  <si>
    <t>로데오</t>
  </si>
  <si>
    <t>안산 단원구 고잔동 535-4</t>
  </si>
  <si>
    <t>화성 병점동 844-5</t>
  </si>
  <si>
    <t>도원</t>
  </si>
  <si>
    <t>화성 병점동 844-1</t>
  </si>
  <si>
    <t>휴대폰</t>
  </si>
  <si>
    <t>화성 진안동 512-10</t>
  </si>
  <si>
    <t>건물</t>
  </si>
  <si>
    <t>주차50</t>
  </si>
  <si>
    <t>안산시 상록구 성포동 593-17</t>
  </si>
  <si>
    <t>육대장</t>
  </si>
  <si>
    <t>아파트,병원상권</t>
  </si>
  <si>
    <t>안산시 상록구 월피동 445-20</t>
  </si>
  <si>
    <t>일미감자탕</t>
  </si>
  <si>
    <t>안산시 단원구 고잔동 717-2</t>
  </si>
  <si>
    <t>렌트프리3개월 / 주차</t>
  </si>
  <si>
    <t>포케올데이</t>
  </si>
  <si>
    <t>안산시 상록구 본오동 874-2</t>
  </si>
  <si>
    <t>안산시 단원구 고잔동 528-1</t>
  </si>
  <si>
    <t>장어가</t>
  </si>
  <si>
    <t>안산시 단원구 선부동 1077</t>
  </si>
  <si>
    <t>강태공</t>
  </si>
  <si>
    <t>주차좋음 / 역세권</t>
  </si>
  <si>
    <t>안산시 상록구 성포동 587-1</t>
  </si>
  <si>
    <t>신축 / 전면넓음</t>
  </si>
  <si>
    <t>화성시 새솔동 76-3</t>
  </si>
  <si>
    <t>렌트프리3개월</t>
  </si>
  <si>
    <t>화성시 새솔동 76-1</t>
  </si>
  <si>
    <t>12평×3</t>
  </si>
  <si>
    <t>렌트프리4~6개월</t>
  </si>
  <si>
    <t>광진구 자양동 779-6</t>
  </si>
  <si>
    <t>한우88도매장</t>
  </si>
  <si>
    <t>안산시 단원구 선부동 1077-17</t>
  </si>
  <si>
    <t>구 짬뽕관</t>
  </si>
  <si>
    <t>대로변 / 가시성 / 주차 / 배후</t>
  </si>
  <si>
    <t>강남구 대치동 897-2</t>
  </si>
  <si>
    <t>헤어카리스</t>
  </si>
  <si>
    <t>인천시 남동구 구월동 1122</t>
  </si>
  <si>
    <t>예술회관역 / 코너 / 분할가능</t>
  </si>
  <si>
    <t>안산시 단원구 고잔동 541</t>
  </si>
  <si>
    <t>뉴발란스</t>
  </si>
  <si>
    <t>화성시 병점동 844-1</t>
  </si>
  <si>
    <t>인천시 부평구 십정동 407-8</t>
  </si>
  <si>
    <t>청고장대패</t>
  </si>
  <si>
    <t>강남구 대치동 890-60</t>
  </si>
  <si>
    <t>커피빈</t>
  </si>
  <si>
    <t>강남구 대치동 895</t>
  </si>
  <si>
    <t>깐부치킨</t>
  </si>
  <si>
    <t>인천시 부평구 청천동 440-4</t>
  </si>
  <si>
    <t>원상복구</t>
  </si>
  <si>
    <t>인천시 서구 석남동 511-3</t>
  </si>
  <si>
    <t>해물마당</t>
  </si>
  <si>
    <t>인천시 서구 석남동 579-7</t>
  </si>
  <si>
    <t>인천시 계양구 계산동 926-32</t>
  </si>
  <si>
    <t>미락해물탕</t>
  </si>
  <si>
    <t>강남구 삼성동 153-60</t>
  </si>
  <si>
    <t>어머니족발</t>
  </si>
  <si>
    <t>강남구 삼성동 153-57</t>
  </si>
  <si>
    <t>1,2층</t>
  </si>
  <si>
    <t>연층</t>
  </si>
  <si>
    <t>강남구 삼성동 153-39</t>
  </si>
  <si>
    <t>강남구 삼성동 151-20</t>
  </si>
  <si>
    <t>할매기름집</t>
  </si>
  <si>
    <t>강남구 삼성동 152-2</t>
  </si>
  <si>
    <t>비마이플라워</t>
  </si>
  <si>
    <t>강남구 삼성동 152</t>
  </si>
  <si>
    <t>을지로골뱅이</t>
  </si>
  <si>
    <t>강남구 삼성동 155-13</t>
  </si>
  <si>
    <t>오징어세상</t>
  </si>
  <si>
    <t>강남구 삼성동 154-16</t>
  </si>
  <si>
    <t>음식점 불가</t>
  </si>
  <si>
    <t>강남구 역삼동 823-35</t>
  </si>
  <si>
    <t>일식집</t>
  </si>
  <si>
    <t>영업중단</t>
  </si>
  <si>
    <t>중랑구 상봉동 136-1</t>
  </si>
  <si>
    <t>강남구 역삼동 696-18</t>
  </si>
  <si>
    <t>차돌박힌쭈꾸미</t>
  </si>
  <si>
    <t>강남구 대치동 889-68</t>
  </si>
  <si>
    <t>포토이즘</t>
  </si>
  <si>
    <t>강남구 대치동 900-56</t>
  </si>
  <si>
    <t>선주가</t>
  </si>
  <si>
    <t>강남구 대치동 897-8</t>
  </si>
  <si>
    <t>구포국수</t>
  </si>
  <si>
    <t>Futoru</t>
  </si>
  <si>
    <t>강남구 대치동 891-52</t>
  </si>
  <si>
    <t>김치공장</t>
  </si>
  <si>
    <t>강남구 대치동 900-1</t>
  </si>
  <si>
    <t>강남구 대치동 901-25</t>
  </si>
  <si>
    <t>더피자스탠드</t>
  </si>
  <si>
    <t>강남구 대치동 895-1</t>
  </si>
  <si>
    <t>선릉해장</t>
  </si>
  <si>
    <t>주차 / 남녀화장실</t>
  </si>
  <si>
    <t>강남구 역삼동 739</t>
  </si>
  <si>
    <t>원상복구 / 주차</t>
  </si>
  <si>
    <t>평당2만</t>
  </si>
  <si>
    <t>부천시 소사구 심곡본동 736-18</t>
  </si>
  <si>
    <t>도시가스 없음</t>
  </si>
  <si>
    <t>부천시 원미구 심곡동 165-22</t>
  </si>
  <si>
    <t>신룽푸마라탕</t>
  </si>
  <si>
    <t>부천시 원미구 심곡동 170-18</t>
  </si>
  <si>
    <t>우가네</t>
  </si>
  <si>
    <t>부천시 원미구 원미동 91-7</t>
  </si>
  <si>
    <t>철거 / 구청옆</t>
  </si>
  <si>
    <t>부천시 원미구 심곡동 179-10</t>
  </si>
  <si>
    <t>역전불고기</t>
  </si>
  <si>
    <t>부천시 원미구 심곡동 177-2</t>
  </si>
  <si>
    <t>분할가능 / 주차</t>
  </si>
  <si>
    <t>부천시 원미구 심곡동 355-5</t>
  </si>
  <si>
    <t>역세권 / 코너</t>
  </si>
  <si>
    <t>부천시 원미구 심곡동 161-1</t>
  </si>
  <si>
    <t>우리동네보험닥터</t>
  </si>
  <si>
    <t>중랑구 중화동 286-43</t>
  </si>
  <si>
    <t>공용화장실</t>
  </si>
  <si>
    <t>중랑구 중화동 305-72</t>
  </si>
  <si>
    <t>전용화장실</t>
  </si>
  <si>
    <t>수원시 장안구 조원동 762-13</t>
  </si>
  <si>
    <t>2층만 가능(1억/700~800)</t>
  </si>
  <si>
    <t>김엄마감자탕</t>
  </si>
  <si>
    <t>역전할머니</t>
  </si>
  <si>
    <t>의왕시 삼동 580-3</t>
  </si>
  <si>
    <t>주차1대 / 추가비용</t>
  </si>
  <si>
    <t>의왕시 삼동 598-2</t>
  </si>
  <si>
    <t>아침산저녁바다</t>
  </si>
  <si>
    <t>의왕시 삼동 246-1</t>
  </si>
  <si>
    <t>심야스테이크</t>
  </si>
  <si>
    <t>중구 초동 157-11</t>
  </si>
  <si>
    <t>치토피아</t>
  </si>
  <si>
    <t>40평+40평</t>
  </si>
  <si>
    <t>중구 충무로3가 25-12</t>
  </si>
  <si>
    <t>동아골뱅이</t>
  </si>
  <si>
    <t>외부공간 약8평</t>
  </si>
  <si>
    <t>중구 저동2가 46-2</t>
  </si>
  <si>
    <t>미스터순두부</t>
  </si>
  <si>
    <t>중구 저동2가 84-11</t>
  </si>
  <si>
    <t>수커피볶는집</t>
  </si>
  <si>
    <t>지하5평 포함</t>
  </si>
  <si>
    <t xml:space="preserve"> </t>
    <phoneticPr fontId="3" type="noConversion"/>
  </si>
  <si>
    <t>1~2~3층</t>
    <phoneticPr fontId="3" type="noConversion"/>
  </si>
  <si>
    <t>광명시 광명동 158-205</t>
  </si>
  <si>
    <t>야키토리쇼우</t>
  </si>
  <si>
    <t>광명사거리역1분</t>
  </si>
  <si>
    <t>광명시 광명동 158-850</t>
  </si>
  <si>
    <t>콩집와플</t>
  </si>
  <si>
    <t>지하3평</t>
  </si>
  <si>
    <t>인천시 부평구 십정동 467-8</t>
  </si>
  <si>
    <t>컴포즈커피</t>
  </si>
  <si>
    <t>커피만가능</t>
  </si>
  <si>
    <t>인천시 부평구 십정동 408-11</t>
  </si>
  <si>
    <t>인천시 부평구 십정동 407-30</t>
  </si>
  <si>
    <t>유진해물</t>
  </si>
  <si>
    <t>인천시 부평구 십정동 420-1</t>
  </si>
  <si>
    <t>마포주먹고기</t>
  </si>
  <si>
    <t>인천시 서구 석남동 539-7</t>
  </si>
  <si>
    <t>대로변 / 내부화장실</t>
  </si>
  <si>
    <t>인천시 미추홀구 주안동 1471-14</t>
  </si>
  <si>
    <t>할매솥뚜껑삼겹살</t>
  </si>
  <si>
    <t>대로변 / 화장실</t>
  </si>
  <si>
    <t>인천시 남동구 간석동 122-10</t>
  </si>
  <si>
    <t>시장 / 대로변</t>
  </si>
  <si>
    <t>수원시 권선구 당수로 124</t>
  </si>
  <si>
    <t>수원시 권선구 당수동 434</t>
  </si>
  <si>
    <t>1만3천세대 배후</t>
  </si>
  <si>
    <t>인천시 남동구 간석동 109-7</t>
  </si>
  <si>
    <t>역앞 / 화장실</t>
  </si>
  <si>
    <t>인천시 부평구 십정동 407-29</t>
  </si>
  <si>
    <t>역전솥뚜껑</t>
  </si>
  <si>
    <t>인천시 부평구 십정동 486-30</t>
  </si>
  <si>
    <t>알파문구</t>
  </si>
  <si>
    <t>도시가스필요</t>
  </si>
  <si>
    <t>인천시 서구 석남동 538-3</t>
  </si>
  <si>
    <t>시선</t>
  </si>
  <si>
    <t>인천시 서구 석남동 538-33</t>
  </si>
  <si>
    <t>식감이야기</t>
  </si>
  <si>
    <t>테라스 / 화장실</t>
  </si>
  <si>
    <t>인천시 서구 석남동 539-3</t>
  </si>
  <si>
    <t>포차1981</t>
  </si>
  <si>
    <t>인천시 서구 석남동 513-3</t>
  </si>
  <si>
    <t>해목정</t>
  </si>
  <si>
    <t>병원인근</t>
  </si>
  <si>
    <t>광명시 광명동 12-2</t>
  </si>
  <si>
    <t>트리우스 배후</t>
  </si>
  <si>
    <t>안산시 단원구 고잔동 531-2</t>
  </si>
  <si>
    <t>안산시 단원구 고잔동 523-1</t>
  </si>
  <si>
    <t>26층</t>
  </si>
  <si>
    <t>인테리어지원1억 / 전망</t>
  </si>
  <si>
    <t>시청대로변</t>
  </si>
  <si>
    <t>금천구 시흥대로52길70</t>
  </si>
  <si>
    <t>https://map.naver.com/v5/search/금천구%20시흥대로52길70</t>
  </si>
  <si>
    <t>두꺼비생삼겹2호점 / 대림시장점</t>
  </si>
  <si>
    <t>횡단보도 앞, 본가전주옥 정면</t>
  </si>
  <si>
    <t>금천구 금하로638</t>
  </si>
  <si>
    <t>https://map.naver.com/v5/search/금천구%20금하로638</t>
  </si>
  <si>
    <t>대형순대국</t>
  </si>
  <si>
    <t>매장 내 기둥 있음</t>
  </si>
  <si>
    <t>관악구 양녕로41-1</t>
  </si>
  <si>
    <t>https://map.naver.com/v5/search/관악구%20양녕로41-1</t>
  </si>
  <si>
    <t>청년다방 봉천현대점</t>
  </si>
  <si>
    <t>현대시장 상권</t>
  </si>
  <si>
    <t>관악구 양녕로39</t>
  </si>
  <si>
    <t>https://map.naver.com/v5/search/관악구%20양녕로39</t>
  </si>
  <si>
    <t>여우산장</t>
  </si>
  <si>
    <t>현대시장 내</t>
  </si>
  <si>
    <t>관악구 양녕로23</t>
  </si>
  <si>
    <t>https://map.naver.com/v5/search/관악구%20양녕로23</t>
  </si>
  <si>
    <t>자매집</t>
  </si>
  <si>
    <t>시흥시 대야동 543-1</t>
  </si>
  <si>
    <t>롯데마트 코너</t>
  </si>
  <si>
    <t>시흥시 대야동 541-2</t>
  </si>
  <si>
    <t>인천시 부평구 십정동 422-5</t>
  </si>
  <si>
    <t>미녀고기</t>
  </si>
  <si>
    <t>동암역</t>
  </si>
  <si>
    <t>인천시 부평구 십정동 403-10</t>
  </si>
  <si>
    <t>성진아구탕찜</t>
  </si>
  <si>
    <t>인천시 부평구 십정동 186-326</t>
  </si>
  <si>
    <t>너티크림</t>
  </si>
  <si>
    <t>백운역</t>
  </si>
  <si>
    <t>인천시 남동구 구월동 1371-10</t>
  </si>
  <si>
    <t>정돈집</t>
  </si>
  <si>
    <t>야장 / 주차</t>
  </si>
  <si>
    <t>인천시 미추홀구 도화동 222-1</t>
  </si>
  <si>
    <t>명태어장</t>
  </si>
  <si>
    <t>대로변코너</t>
  </si>
  <si>
    <t>인천시 계양구 효성동 412-1</t>
  </si>
  <si>
    <t>힘찬장어</t>
  </si>
  <si>
    <t>주차 / 마당</t>
  </si>
  <si>
    <t>부천시 원미구 중동 1079</t>
  </si>
  <si>
    <t>화통한소한마리</t>
  </si>
  <si>
    <t>역앞</t>
  </si>
  <si>
    <t>부천시 원미구 중동 1079-3</t>
  </si>
  <si>
    <t>인천시 서구 가좌동 129-37</t>
  </si>
  <si>
    <t>참마루감자탕</t>
  </si>
  <si>
    <t>인천시 서구 가좌동 247-1</t>
  </si>
  <si>
    <t>나사장네</t>
  </si>
  <si>
    <t>대단지배후</t>
  </si>
  <si>
    <t>인천시 서구 심곡동 280-14</t>
  </si>
  <si>
    <t>역세권</t>
  </si>
  <si>
    <t>인천시 연수구 동춘동 1117-3</t>
  </si>
  <si>
    <t>주차 / 등산로</t>
  </si>
  <si>
    <t>부천시 원미구 중동 1142-5</t>
  </si>
  <si>
    <t>꽃돼지식당</t>
  </si>
  <si>
    <t>부천시 원미구 중동 1142-7</t>
  </si>
  <si>
    <t>쭈박사</t>
  </si>
  <si>
    <t>초입</t>
  </si>
  <si>
    <t>부천시 원미구 중동 1142-19</t>
  </si>
  <si>
    <t>부천시 원미구 중동 1142-20</t>
  </si>
  <si>
    <t>삼덕통닭</t>
  </si>
  <si>
    <t>시계탑</t>
  </si>
  <si>
    <t>인천시 계양구 장기동 144</t>
  </si>
  <si>
    <t>아파트</t>
  </si>
  <si>
    <t>김포시 구래동 6880-5</t>
  </si>
  <si>
    <t>버터램</t>
  </si>
  <si>
    <t>김포시 구래동 6883-2</t>
  </si>
  <si>
    <t>김포시 구래동 6883-4</t>
  </si>
  <si>
    <t>김포시 구래동 6883-3</t>
  </si>
  <si>
    <t>병원건물</t>
  </si>
  <si>
    <t>부천시 원미구 중동 1150-8</t>
  </si>
  <si>
    <t>청아골</t>
  </si>
  <si>
    <t>부천시 원미구 중동 1133-11</t>
  </si>
  <si>
    <t>미스등갈비</t>
  </si>
  <si>
    <t>인천시 남동구 구월동 1474-3</t>
  </si>
  <si>
    <t>칼누들</t>
  </si>
  <si>
    <t>인천시 남동구 구월동 1115-5</t>
  </si>
  <si>
    <t>주차13대</t>
  </si>
  <si>
    <t>성남시 분당구 백현동 530</t>
  </si>
  <si>
    <t>고고스</t>
  </si>
  <si>
    <t>늘푸른생선구이</t>
  </si>
  <si>
    <t>판교</t>
  </si>
  <si>
    <t>동작구 신대방동 724</t>
  </si>
  <si>
    <t>동작구 대방동 416-4</t>
  </si>
  <si>
    <t>우미경</t>
  </si>
  <si>
    <t>동작구 대방동 395-18</t>
  </si>
  <si>
    <t>동작구 신대방동 343-7</t>
  </si>
  <si>
    <t>쿠즈코커피</t>
  </si>
  <si>
    <t>성남시 분당구 서현동 221-5</t>
  </si>
  <si>
    <t>샤브샤브</t>
  </si>
  <si>
    <t>4000~5000</t>
  </si>
  <si>
    <t>성남시 분당구 서현동 258-1</t>
  </si>
  <si>
    <t>싸리골</t>
  </si>
  <si>
    <t>병원</t>
  </si>
  <si>
    <t>주차20대 / 운동장</t>
  </si>
  <si>
    <t>수원시 팔달구 팔달로2가 16-1</t>
  </si>
  <si>
    <t>수원시 권선구 평동 22-17</t>
  </si>
  <si>
    <t>본구이</t>
  </si>
  <si>
    <t>코너 / 주차60대</t>
  </si>
  <si>
    <t>수원시 권선구 서둔동 288-2</t>
  </si>
  <si>
    <t>5000~10000</t>
  </si>
  <si>
    <t>300~1000</t>
  </si>
  <si>
    <t>대로변 / 주차</t>
  </si>
  <si>
    <t>수원시 팔달구 매산로1가 55-2</t>
  </si>
  <si>
    <t>수원역</t>
  </si>
  <si>
    <t>마포구 공덕동 249-50</t>
  </si>
  <si>
    <t>B1~1층</t>
  </si>
  <si>
    <t>광남수사</t>
  </si>
  <si>
    <t>부천시 원미구 중동 1141-1</t>
  </si>
  <si>
    <t>파머스포케</t>
  </si>
  <si>
    <t>강남구 역삼동 736-50</t>
  </si>
  <si>
    <t>타누키돈부리</t>
  </si>
  <si>
    <t>강남구 역삼동 700-10</t>
  </si>
  <si>
    <t>한심정육식당</t>
  </si>
  <si>
    <t>룸 / 주차</t>
  </si>
  <si>
    <t>온다젤라또</t>
  </si>
  <si>
    <t>안산시 상록구 본오동 823-13</t>
  </si>
  <si>
    <t>즉떡의법칙</t>
  </si>
  <si>
    <t>안산시 상록구 이동 715-1</t>
  </si>
  <si>
    <t>안산시 상록구 이동 715</t>
  </si>
  <si>
    <t>안산시 상록구 이동 716-12</t>
  </si>
  <si>
    <t>강남구 역삼동 838-4</t>
  </si>
  <si>
    <t>자연곳간</t>
  </si>
  <si>
    <t>오피스</t>
  </si>
  <si>
    <t>서초구 서초동 1330-9</t>
  </si>
  <si>
    <t>그우동집</t>
  </si>
  <si>
    <t>샌드위치</t>
  </si>
  <si>
    <t>강남구 역삼동 668-10</t>
  </si>
  <si>
    <t>강남구 역삼동 637-2</t>
  </si>
  <si>
    <t>강남구 역삼동 723-7</t>
  </si>
  <si>
    <t>어화</t>
  </si>
  <si>
    <t>강남구 역삼동 775-2</t>
  </si>
  <si>
    <t>순대국</t>
  </si>
  <si>
    <t>강남구 역삼동 835-6</t>
  </si>
  <si>
    <t>강남구 역삼동 828-42</t>
  </si>
  <si>
    <t>누땡</t>
  </si>
  <si>
    <t>강남구 도곡동 945-16</t>
  </si>
  <si>
    <t>두두돼지</t>
  </si>
  <si>
    <t>영이네</t>
  </si>
  <si>
    <t>부천시 원종동 281-6</t>
  </si>
  <si>
    <t>PLUS82</t>
  </si>
  <si>
    <t>서초구 잠원동 38-12</t>
  </si>
  <si>
    <t>오공복이</t>
  </si>
  <si>
    <t>중랑구 면목동 117-17</t>
  </si>
  <si>
    <t>바우네</t>
  </si>
  <si>
    <t>강동구 길동 457-3</t>
  </si>
  <si>
    <t>은희네해장국</t>
  </si>
  <si>
    <t>강동구 길동 106-7</t>
  </si>
  <si>
    <t>강동구 명일동 325-20</t>
  </si>
  <si>
    <t>청년감자탕</t>
  </si>
  <si>
    <t>강동구 성내동 439-12</t>
  </si>
  <si>
    <t>강동구 성내동 379</t>
  </si>
  <si>
    <t>진밀옥</t>
  </si>
  <si>
    <t>강동구 암사동 245-2</t>
  </si>
  <si>
    <t>흑염소명가</t>
  </si>
  <si>
    <t>강동구 암사동 500-1</t>
  </si>
  <si>
    <t>역1분</t>
  </si>
  <si>
    <t>안산시 상록구 본오동 873-4</t>
  </si>
  <si>
    <t>안산시 상록구 사동 1318-1</t>
  </si>
  <si>
    <t>안산시 상록구 사동 1320-1</t>
  </si>
  <si>
    <t>안산시 상록구 사동 1320-6</t>
  </si>
  <si>
    <t>안산시 상록구 본오동 889</t>
  </si>
  <si>
    <t>안산시 상록구 본오동 873</t>
  </si>
  <si>
    <t>안산시 상록구 본오동 873-3</t>
  </si>
  <si>
    <t>안산시 상록구 본오동 874-4</t>
  </si>
  <si>
    <t>안산시 상록구 본오동 872</t>
  </si>
  <si>
    <t>안산시 상록구 본오동 873-10</t>
  </si>
  <si>
    <t>조건변경가능</t>
  </si>
  <si>
    <t>안산시 상록구 본오동 872-20</t>
  </si>
  <si>
    <t>안산시 상록구 본오동 814-16</t>
  </si>
  <si>
    <t>렌트프리</t>
  </si>
  <si>
    <t>안산시 상록구 본오동 823-11</t>
  </si>
  <si>
    <t>강동구 천호동 333-46</t>
  </si>
  <si>
    <t>참나무</t>
  </si>
  <si>
    <t>강동구 천호동 314-4</t>
  </si>
  <si>
    <t>펀비어킹</t>
  </si>
  <si>
    <t>강동구 암사동 503-21</t>
  </si>
  <si>
    <t>선사솥뚜껑</t>
  </si>
  <si>
    <t>송파구 가락동 137-13</t>
  </si>
  <si>
    <t>주차 / 남녀화장실 / 음식점불가</t>
  </si>
  <si>
    <t>송파구 가락동 137-2</t>
  </si>
  <si>
    <t>고향집</t>
  </si>
  <si>
    <t>송파구 방이동 182-2</t>
  </si>
  <si>
    <t>한티옥</t>
  </si>
  <si>
    <t>대로변 / 발렛</t>
  </si>
  <si>
    <t>송파구 방이동 190-15</t>
  </si>
  <si>
    <t>킨쇼</t>
  </si>
  <si>
    <t>코너 / 먹자골목</t>
  </si>
  <si>
    <t>송파구 오금동 3-4</t>
  </si>
  <si>
    <t>루엔타이</t>
  </si>
  <si>
    <t>송파구 방이동 107-8</t>
  </si>
  <si>
    <t>음식가능(주류X)</t>
  </si>
  <si>
    <t>강남구 대치동 974</t>
  </si>
  <si>
    <t>진전복삼계탕</t>
  </si>
  <si>
    <t>학원상권</t>
  </si>
  <si>
    <t>송파구 방이동 154</t>
  </si>
  <si>
    <t>은평구 진관동 100-3</t>
  </si>
  <si>
    <t>스시웨이</t>
  </si>
  <si>
    <t>1층출입 / 주차</t>
  </si>
  <si>
    <t>수원시 팔달구 인계동 1119-4</t>
  </si>
  <si>
    <t>환이네뭉티기</t>
  </si>
  <si>
    <t>주차11대</t>
  </si>
  <si>
    <t>송파구 거여동 1-1</t>
  </si>
  <si>
    <t>소풍</t>
  </si>
  <si>
    <t>남동구 논현동 631-8</t>
  </si>
  <si>
    <t>남동구 논현동 616-2</t>
  </si>
  <si>
    <t>남동구 논현동 631-6</t>
  </si>
  <si>
    <t>남동구 논현동 631-2</t>
  </si>
  <si>
    <t>선비꼬마김밥</t>
  </si>
  <si>
    <t>운영중단</t>
  </si>
  <si>
    <t>남동구 논현동 631-3</t>
  </si>
  <si>
    <t>연수구 송도동 169</t>
  </si>
  <si>
    <t>관리비 평당</t>
  </si>
  <si>
    <t>안산시 상록구 본오동 874-5</t>
  </si>
  <si>
    <t>핸드폰</t>
  </si>
  <si>
    <t>안양시 동안구 평촌동 900-4</t>
  </si>
  <si>
    <t>엉클스치킨</t>
  </si>
  <si>
    <t>안산시 상록구 이동 716-11</t>
  </si>
  <si>
    <t>부천시 원미구 중동 1138</t>
  </si>
  <si>
    <t>부천시 원미구 중동 1141-3</t>
  </si>
  <si>
    <t>부천시 원미구 중동 1148</t>
  </si>
  <si>
    <t>카페희다</t>
  </si>
  <si>
    <t>부천시 원미구 중동 1166-4</t>
  </si>
  <si>
    <t>긴자료코</t>
  </si>
  <si>
    <t>부천시 원미구 중동 1146-4</t>
  </si>
  <si>
    <t>센치한언니</t>
  </si>
  <si>
    <t>송파구 방이동 202-6</t>
  </si>
  <si>
    <t>토성유황오리</t>
  </si>
  <si>
    <t>부천시 원미구 중동 1058-2</t>
  </si>
  <si>
    <t>블랙말이</t>
  </si>
  <si>
    <t>부천시 원미구 중동 1058-1</t>
  </si>
  <si>
    <t>인정국물떡볶이</t>
  </si>
  <si>
    <t>부천시 원미구 중동 1140-4</t>
  </si>
  <si>
    <t>부천시 원미구 중동 1140-3</t>
  </si>
  <si>
    <t>라온살롱</t>
  </si>
  <si>
    <t xml:space="preserve"> 세꼬시마을</t>
    <phoneticPr fontId="3" type="noConversion"/>
  </si>
  <si>
    <t>안양시 동안구 호계동 1065-8</t>
  </si>
  <si>
    <t>고레카레</t>
  </si>
  <si>
    <t>안양시 동안구 평촌동 922</t>
  </si>
  <si>
    <t>권선생</t>
  </si>
  <si>
    <t>안양시 동안구 평촌동 922-3</t>
  </si>
  <si>
    <t>에비수</t>
  </si>
  <si>
    <t>수원시 영통구 망포동 532-1</t>
  </si>
  <si>
    <t>수원시 영통구 영통동 1038-3</t>
  </si>
  <si>
    <t>화포식당</t>
  </si>
  <si>
    <t>엘리베이터</t>
  </si>
  <si>
    <t>수원시 영통구 영통동 998-5</t>
  </si>
  <si>
    <t>릴리</t>
  </si>
  <si>
    <t>수원시 영통구 영통동 1012-1</t>
  </si>
  <si>
    <t>주차 / 영통역</t>
  </si>
  <si>
    <t>수원시 기흥구 농서동 416</t>
  </si>
  <si>
    <t>다락</t>
  </si>
  <si>
    <t>지산 / 삼성전자 / 코너</t>
  </si>
  <si>
    <t>수원시 장안구 율전동 288-9</t>
  </si>
  <si>
    <t>복층 / 성대후문 / 삼거리코너</t>
  </si>
  <si>
    <t>복층 / 코너 / 즉시입주</t>
  </si>
  <si>
    <t>수원시 팔달구 인계동 1137-3</t>
  </si>
  <si>
    <t>수원시 팔달구 인계동 1139</t>
  </si>
  <si>
    <t>주주옷가게</t>
  </si>
  <si>
    <t>영칼로리포케</t>
  </si>
  <si>
    <t>헬키푸키</t>
  </si>
  <si>
    <t>수원시 팔달구 인계동 1118-11</t>
  </si>
  <si>
    <t>한인상회</t>
  </si>
  <si>
    <t>수원시 팔달구 인계동 1121-3</t>
  </si>
  <si>
    <t>산장화로</t>
  </si>
  <si>
    <t>수원시 팔달구 인계동 1123-18</t>
  </si>
  <si>
    <t>장수생고기</t>
  </si>
  <si>
    <t>농협사옥 인근 / 직장인 / 주차</t>
  </si>
  <si>
    <t>수원시 장안구 정자동 875</t>
  </si>
  <si>
    <t>문돼장</t>
  </si>
  <si>
    <t>수원시 장안구 정자동 877-4</t>
  </si>
  <si>
    <t>수원 영통동 998-6</t>
  </si>
  <si>
    <t>새마을식당</t>
  </si>
  <si>
    <t>영통역</t>
  </si>
  <si>
    <t>수원 영통동 1037-12</t>
  </si>
  <si>
    <t>수원 정자동 429-4</t>
  </si>
  <si>
    <t>한촌설렁탕</t>
  </si>
  <si>
    <t>시장</t>
  </si>
  <si>
    <t>수원 조원동 288-4</t>
  </si>
  <si>
    <t>소래버섯나라</t>
  </si>
  <si>
    <t>KT위즈파크</t>
  </si>
  <si>
    <t>광진구 중곡동 161-24</t>
  </si>
  <si>
    <t>군자역</t>
  </si>
  <si>
    <t>광진구 능동 255-16</t>
  </si>
  <si>
    <t>아차산역</t>
  </si>
  <si>
    <t>광진구 능동 237-5</t>
  </si>
  <si>
    <t>분당 수내동 19-4</t>
  </si>
  <si>
    <t>분당 수내동 8-3</t>
  </si>
  <si>
    <t>1984냉골집</t>
  </si>
  <si>
    <t>철거예정</t>
  </si>
  <si>
    <t>분당 정자동 16-2</t>
  </si>
  <si>
    <t>삼청동샤브</t>
  </si>
  <si>
    <t>뽀짜이빤</t>
  </si>
  <si>
    <t>분당 정자동 156-3</t>
  </si>
  <si>
    <t>분당 정자동 17-4</t>
  </si>
  <si>
    <t>수원 이의동 1275-3</t>
  </si>
  <si>
    <t>광교역</t>
  </si>
  <si>
    <t>수원 구운동 627</t>
  </si>
  <si>
    <t>회식타운</t>
  </si>
  <si>
    <t>수원 원천동 576-11</t>
  </si>
  <si>
    <t>장어명가</t>
  </si>
  <si>
    <t>아주대병원</t>
  </si>
  <si>
    <t>수원 매산로2가 14-2</t>
  </si>
  <si>
    <t>양꼬치</t>
  </si>
  <si>
    <t>수원 인계동 1115-18</t>
  </si>
  <si>
    <t>고기랜드</t>
  </si>
  <si>
    <t>수원 인계동 1123-25</t>
  </si>
  <si>
    <t>백암순대</t>
  </si>
  <si>
    <t>수원 파장동 476-1</t>
  </si>
  <si>
    <t>우백탄</t>
  </si>
  <si>
    <t>수원 파장동 627-9</t>
  </si>
  <si>
    <t>수원 천천동 558-4</t>
  </si>
  <si>
    <t>안양 평촌동 918-9</t>
  </si>
  <si>
    <t>양곱창</t>
  </si>
  <si>
    <t>안양 평촌동 918-3</t>
  </si>
  <si>
    <t>또봐요</t>
  </si>
  <si>
    <t>안양 평촌동 917-7</t>
  </si>
  <si>
    <t>부대찌개</t>
  </si>
  <si>
    <t>안양 안양동 674-70</t>
  </si>
  <si>
    <t>안양 안양동 674-39</t>
  </si>
  <si>
    <t>1번가</t>
  </si>
  <si>
    <t>안양 안양동 674-241</t>
  </si>
  <si>
    <t>안양 안양동 674-40</t>
  </si>
  <si>
    <t>우동집</t>
  </si>
  <si>
    <t>군포 산본동 266-4</t>
  </si>
  <si>
    <t>통큰만족</t>
  </si>
  <si>
    <t>군포 당동 747-4</t>
  </si>
  <si>
    <t>닥트</t>
  </si>
  <si>
    <t>인천 송도동 3-1</t>
  </si>
  <si>
    <t>인천 송도동 3-6</t>
  </si>
  <si>
    <t>인천 청학동 498-7</t>
  </si>
  <si>
    <t>인천 동춘동 1116-9</t>
  </si>
  <si>
    <t>시설유지</t>
  </si>
  <si>
    <t>인천 동춘동 934-6</t>
  </si>
  <si>
    <t>인천 선학동 405-4</t>
  </si>
  <si>
    <t>저가</t>
  </si>
  <si>
    <t>김포 풍무동 602</t>
  </si>
  <si>
    <t>김포 풍무동 421-8</t>
  </si>
  <si>
    <t>인천 남동구 구월동 1453</t>
  </si>
  <si>
    <t>완벌가</t>
  </si>
  <si>
    <t>인천 남동구 구월동 1463-1</t>
  </si>
  <si>
    <t>인천 남동구 간석동 120-12</t>
  </si>
  <si>
    <t>수원 장안구 율전동 288-40</t>
  </si>
  <si>
    <t>육식사관학교</t>
  </si>
  <si>
    <t>인천 계양구 계산동 945-3</t>
  </si>
  <si>
    <t>폭풍회오리</t>
  </si>
  <si>
    <t>인천 계양구 작전동 381-1</t>
  </si>
  <si>
    <t>인천 부평구 산곡동 51-3</t>
  </si>
  <si>
    <t>인천 부평구 청천동 26-2</t>
  </si>
  <si>
    <t>수원 권선구 금곡동 1118-1</t>
  </si>
  <si>
    <t>수원 권선구 금곡동 1113-5</t>
  </si>
  <si>
    <t>수원 영통구 이의동 1275-1</t>
  </si>
  <si>
    <t>안양 동안구 호계동 1065-6</t>
  </si>
  <si>
    <t>수원 장안구 정자동 535-30</t>
  </si>
  <si>
    <t>바베큐닭</t>
  </si>
  <si>
    <t>용인 수지구 상현동 1117-3</t>
  </si>
  <si>
    <t>한스</t>
  </si>
  <si>
    <t>용인 수지구 상현동 1131-5</t>
  </si>
  <si>
    <t>화성 새솔동 76-12</t>
  </si>
  <si>
    <t>수원 장안구 율전동 295-1</t>
  </si>
  <si>
    <t>르뱅</t>
  </si>
  <si>
    <t>인천 남동구 도림동 658-11</t>
  </si>
  <si>
    <t>인천 연수구 연수동 597-3</t>
  </si>
  <si>
    <t>인천 연수구 청학동 503-1</t>
  </si>
  <si>
    <t>꼬마김밥</t>
  </si>
  <si>
    <t>인천 연수구 청학동 503-3</t>
  </si>
  <si>
    <t>샐러디</t>
  </si>
  <si>
    <t>닭익는마을</t>
  </si>
  <si>
    <t>인천 부평구 청천동 7-1</t>
  </si>
  <si>
    <t>전용면적</t>
  </si>
  <si>
    <t>43.54평</t>
  </si>
  <si>
    <t>로데오 전면</t>
  </si>
  <si>
    <t>69평</t>
  </si>
  <si>
    <t>로데오 광장</t>
  </si>
  <si>
    <t>53평</t>
  </si>
  <si>
    <t>성대로데오</t>
  </si>
  <si>
    <t>시설비 1,500</t>
  </si>
  <si>
    <t>옆호실 포함</t>
  </si>
  <si>
    <t>59평</t>
  </si>
  <si>
    <t>휴대폰매장</t>
  </si>
  <si>
    <t>광교역 인근</t>
  </si>
  <si>
    <t>알파문구+위라이스버거</t>
  </si>
  <si>
    <t>31.9평</t>
  </si>
  <si>
    <t>자이렉스비아 앞</t>
  </si>
  <si>
    <t>GS편의점</t>
  </si>
  <si>
    <t>렌트프리 협의</t>
  </si>
  <si>
    <t>블마김밥</t>
  </si>
  <si>
    <t>16.33평</t>
  </si>
  <si>
    <t>원조청량산송도토스트</t>
  </si>
  <si>
    <t>18.7평</t>
  </si>
  <si>
    <t>18.9평</t>
  </si>
  <si>
    <t>서울 은평구 신사동 35-20</t>
  </si>
  <si>
    <t>서울 은평구 응암동 576-56</t>
  </si>
  <si>
    <t>강경불고기</t>
  </si>
  <si>
    <t>서울 은평구 증산동 249</t>
  </si>
  <si>
    <t>21.78평</t>
  </si>
  <si>
    <t>서울 마포구 서교동 401-9</t>
  </si>
  <si>
    <t>전 중식당</t>
  </si>
  <si>
    <t>서울 마포구 상수동 315-5</t>
  </si>
  <si>
    <t>더쿠포차</t>
  </si>
  <si>
    <t>서울 마포구 서교동 401-7</t>
  </si>
  <si>
    <t>24.93평</t>
  </si>
  <si>
    <t>서울 송파구 방이동 24-3</t>
  </si>
  <si>
    <t>4억</t>
  </si>
  <si>
    <t>350평</t>
  </si>
  <si>
    <t>지역+주소</t>
  </si>
  <si>
    <t>인천 부평구 십정동 403-10</t>
  </si>
  <si>
    <t>인천 미추홀구 주안동 14-12</t>
  </si>
  <si>
    <t>효자동솥뚜껑</t>
  </si>
  <si>
    <t>인천 부평구 십정동 407-2</t>
  </si>
  <si>
    <t>백암장수순대</t>
  </si>
  <si>
    <t>약50평</t>
  </si>
  <si>
    <t>1.2억</t>
  </si>
  <si>
    <t>x</t>
  </si>
  <si>
    <t>후면 추가공간</t>
  </si>
  <si>
    <t>인천 부평구 십정동 407-8</t>
  </si>
  <si>
    <t>청고장</t>
  </si>
  <si>
    <t>약80평</t>
  </si>
  <si>
    <t>4,000 (조율)</t>
  </si>
  <si>
    <t>주차, 폴딩창</t>
  </si>
  <si>
    <t>인천 부평구 십정동 407-29</t>
  </si>
  <si>
    <t>2.4억</t>
  </si>
  <si>
    <t>마당 10평</t>
  </si>
  <si>
    <t>서울 강동구 명일동 312-72</t>
  </si>
  <si>
    <t>부산아지매국밥</t>
  </si>
  <si>
    <t>1.5억</t>
  </si>
  <si>
    <t>서울 강동구 명일동 312-75</t>
  </si>
  <si>
    <t>명일참숯불갈비</t>
  </si>
  <si>
    <t>약32평</t>
  </si>
  <si>
    <t>대로변, 가시성 좋음</t>
  </si>
  <si>
    <t>서울 강동구 길동 347-12</t>
  </si>
  <si>
    <t>유성집+옆공실</t>
  </si>
  <si>
    <t>서울 강동구 천호동 121-139</t>
  </si>
  <si>
    <t>주거배후 우수, 전면 가시성 좋음</t>
  </si>
  <si>
    <t>서울 강동구 양재대로111길 8</t>
  </si>
  <si>
    <t>담소사골순대</t>
  </si>
  <si>
    <t>5,000 (조정가능)</t>
  </si>
  <si>
    <t>4인 10개, 2인 4개, 길동역 먹자상권</t>
  </si>
  <si>
    <t>서울 강동구 성내동 440-19</t>
  </si>
  <si>
    <t>족발야시장</t>
  </si>
  <si>
    <t>약33평</t>
  </si>
  <si>
    <t>주차가능, 둔촌동역 먹자라인</t>
  </si>
  <si>
    <t>서울 강동구 성내동 443-33</t>
  </si>
  <si>
    <t>무너진만리장성</t>
  </si>
  <si>
    <t>약31평</t>
  </si>
  <si>
    <t>코너매장, 가시성 우수</t>
  </si>
  <si>
    <t>서울 강동구 천호동 451</t>
  </si>
  <si>
    <t>최대 45평 가능, 렌트프리 가능</t>
  </si>
  <si>
    <t>서울 강동구 성내동 379-17</t>
  </si>
  <si>
    <t>약36평</t>
  </si>
  <si>
    <t>2억</t>
  </si>
  <si>
    <t>길동사거리 인근, 주차가능</t>
  </si>
  <si>
    <t>서울 강동구 성내동 445-8</t>
  </si>
  <si>
    <t>카페 / 레스토랑</t>
  </si>
  <si>
    <t>약35평</t>
  </si>
  <si>
    <t>카페 5,000 / 레스토랑 8,000</t>
  </si>
  <si>
    <t>한체대·JYP·파크포레온 인근</t>
  </si>
  <si>
    <t>서울 강동구 성내동 444-3</t>
  </si>
  <si>
    <t>약30평</t>
  </si>
  <si>
    <t>서울 강동구 성내동 439-4</t>
  </si>
  <si>
    <t>경기 안산시 상록구 월피동 457-14</t>
  </si>
  <si>
    <t>아리랑</t>
  </si>
  <si>
    <t>약85평</t>
  </si>
  <si>
    <t>경기 안산시 단원구 선부동 1070-12</t>
  </si>
  <si>
    <t>46평</t>
  </si>
  <si>
    <t>경기 안산시 상록구 본오동 874</t>
  </si>
  <si>
    <t>73평</t>
  </si>
  <si>
    <t>라성호텔 1층</t>
  </si>
  <si>
    <t>경기 안산시 상록구 이동 719-1</t>
  </si>
  <si>
    <t>약70평</t>
  </si>
  <si>
    <t>상인회 주차쿠폰 가능</t>
  </si>
  <si>
    <t>대박집</t>
  </si>
  <si>
    <t>경기 안산시 단원구 고잔동 716</t>
  </si>
  <si>
    <t>제주화로집</t>
  </si>
  <si>
    <t>60평</t>
  </si>
  <si>
    <t>경기 안산시 상록구 월피동 460-12</t>
  </si>
  <si>
    <t>소돈소돈</t>
  </si>
  <si>
    <t>약20평</t>
  </si>
  <si>
    <t>인천시 서구 가좌동 72-1</t>
  </si>
  <si>
    <t>팔삼수산</t>
  </si>
  <si>
    <t>안산시 상록구 본오동 874 라성호텔</t>
  </si>
  <si>
    <t>안산시 상록구 이동 719-1</t>
  </si>
  <si>
    <t>상인회 가입 시 주차장 쿠폰제 사용</t>
  </si>
  <si>
    <t>안양시 동안구 평촌동 915</t>
  </si>
  <si>
    <t>왕손할매순대국</t>
  </si>
  <si>
    <t>부천시 소사구 소사본동 70-6</t>
  </si>
  <si>
    <t>6칸</t>
  </si>
  <si>
    <t>부천시 원미구 원미동 111-1</t>
  </si>
  <si>
    <t>약100평</t>
  </si>
  <si>
    <t>부천시 원미구 상동 235-1</t>
  </si>
  <si>
    <t>약103평</t>
  </si>
  <si>
    <t>부천시 원미구 상동 452</t>
  </si>
  <si>
    <t>백가네</t>
  </si>
  <si>
    <t>도시가스 사용</t>
  </si>
  <si>
    <t>부천시 원미구 상동 453</t>
  </si>
  <si>
    <t>엉터리생고기무한대패</t>
  </si>
  <si>
    <t>61평</t>
  </si>
  <si>
    <t>간판3면, 코너, 영화의거리, 대형주방</t>
  </si>
  <si>
    <t>부천시 원미구 상동 456-1</t>
  </si>
  <si>
    <t>민들레한식뷔페</t>
  </si>
  <si>
    <t>송내 영화의거리 메인상권, LPG</t>
  </si>
  <si>
    <t>수원시 권선구 탑동 748-6</t>
  </si>
  <si>
    <t>수원시 권선구 구운동 139-76</t>
  </si>
  <si>
    <t>약51평+데크</t>
  </si>
  <si>
    <t>인천시 미추홀구 도화동 1002 옆</t>
  </si>
  <si>
    <t>렌트프리 가능</t>
  </si>
  <si>
    <t>약90평</t>
  </si>
  <si>
    <t>도화사거리 코너, 주차 가능</t>
  </si>
  <si>
    <t>수원시 권선구 당수동 144-18</t>
  </si>
  <si>
    <t>약70평+옥상테라스50평</t>
  </si>
  <si>
    <t>대로변 가시성 좋음</t>
  </si>
  <si>
    <t>인천시 미추홀구 숭의동 244-23</t>
  </si>
  <si>
    <t>현대자동차공업사</t>
  </si>
  <si>
    <t>47.79평</t>
  </si>
  <si>
    <t>수원시 영통구 매탄동 1276</t>
  </si>
  <si>
    <t>1층 후면</t>
  </si>
  <si>
    <t>약63평</t>
  </si>
  <si>
    <t>고기집 시설 사용 가능</t>
  </si>
  <si>
    <t>안산시 단원구 고잔동 771-3</t>
  </si>
  <si>
    <t>버거킹</t>
  </si>
  <si>
    <t>수원시 권선구 호매실동 1400-2</t>
  </si>
  <si>
    <t>48평</t>
  </si>
  <si>
    <t>수원시 권선구 호매실동 1403-3</t>
  </si>
  <si>
    <t>40.67평</t>
  </si>
  <si>
    <t>수원시 권선구 호매실동 1410-2</t>
  </si>
  <si>
    <t>40.78평</t>
  </si>
  <si>
    <t>인천시 부평구 일신동 108-5</t>
  </si>
  <si>
    <t>114평</t>
  </si>
  <si>
    <t>주차 15대, 분할 가능</t>
  </si>
  <si>
    <t>부천시 소사구 송내동 463-62</t>
  </si>
  <si>
    <t>52평</t>
  </si>
  <si>
    <t>수원시 권선구 금곡동 1091-2</t>
  </si>
  <si>
    <t>삼겹식당</t>
  </si>
  <si>
    <t>수원시 장안구 송죽동 496-23</t>
  </si>
  <si>
    <t>수원시 장안구 송죽동 498</t>
  </si>
  <si>
    <t>주차 22대</t>
  </si>
  <si>
    <t>수원시 장안구 정자동 590-9</t>
  </si>
  <si>
    <t>1층100평 / 2층100평</t>
  </si>
  <si>
    <t>송파구 송파동 15-8</t>
  </si>
  <si>
    <t>총66평</t>
  </si>
  <si>
    <t>석촌역 도보1분</t>
  </si>
  <si>
    <t>연제네</t>
  </si>
  <si>
    <t>송파구 잠실동 183-7</t>
  </si>
  <si>
    <t>잠실새내 메인거리 / 외부분리화장실 / 3년 계약 시 렌트프리 2개월</t>
  </si>
  <si>
    <t>송파구 잠실동 175-8</t>
  </si>
  <si>
    <t>2·9호선 종합운동장역 대로변</t>
  </si>
  <si>
    <t>송파구 잠실동 183-12</t>
  </si>
  <si>
    <t>K위스키</t>
  </si>
  <si>
    <t>잠실새내 메인거리</t>
  </si>
  <si>
    <t>송파구 잠실동 207-10</t>
  </si>
  <si>
    <t>도스타코스</t>
  </si>
  <si>
    <t>잠실새내 먹자골목 / 테라스</t>
  </si>
  <si>
    <t>음식점 안됨 / 베이커리카페까지 가능</t>
  </si>
  <si>
    <t>송파구 방이동 207</t>
  </si>
  <si>
    <t>이마트24</t>
  </si>
  <si>
    <t>방이역 바로 앞 초역세권 / 대로변 코너 / 가시성 좋음 / 학원가·주거상권</t>
  </si>
  <si>
    <t>송파구 방이동 185-13</t>
  </si>
  <si>
    <t>농부</t>
  </si>
  <si>
    <t>방이역 먹자상권</t>
  </si>
  <si>
    <t>송파구 방이동 187-8</t>
  </si>
  <si>
    <t>보스톡</t>
  </si>
  <si>
    <t>방이역 역세권 먹자상권 / 고급 인테리어 / 내부화장실 / 창고 있음</t>
  </si>
  <si>
    <t>송파구 방이동 211-6</t>
  </si>
  <si>
    <t>방이역 도보 6분 / 코너자리 / 즉시 영업 가능</t>
  </si>
  <si>
    <t>송파구 방이동 206-6</t>
  </si>
  <si>
    <t>퀴즈노스</t>
  </si>
  <si>
    <t>사거리 노출 좋은 삼면 코너점포</t>
  </si>
  <si>
    <t>송파구 방이동 46-6</t>
  </si>
  <si>
    <t>33떡볶이</t>
  </si>
  <si>
    <t>약16평</t>
  </si>
  <si>
    <t>현재 33떡볶이 꼬마김밥 몽촌토성점 운영중</t>
  </si>
  <si>
    <t>송파구 석촌동 284-2</t>
  </si>
  <si>
    <t>SOS커피&amp;브런치</t>
  </si>
  <si>
    <t>수원시 권선구 금곡동 1130-6</t>
  </si>
  <si>
    <t>약34평</t>
  </si>
  <si>
    <t>수원시 권선구 금곡동 1129</t>
  </si>
  <si>
    <t>왼쪽 옆 칸까지 쓰면 83평 / 1억·800</t>
  </si>
  <si>
    <t>중복 재업로드</t>
  </si>
  <si>
    <t>마포구 염리동 159-1</t>
  </si>
  <si>
    <t>아이글라스</t>
  </si>
  <si>
    <t>약24평</t>
  </si>
  <si>
    <t>마포구 염리동 153-2</t>
  </si>
  <si>
    <t>건물전체</t>
  </si>
  <si>
    <t>1층+2층=30평</t>
  </si>
  <si>
    <t>각층 내부화장실 / 학원가 경의선숲길 / 옥탑 있음 / 오피스+대단지 동선</t>
  </si>
  <si>
    <t>마포구 도화동 26-5</t>
  </si>
  <si>
    <t>토리비</t>
  </si>
  <si>
    <t>공덕역 역세권 / 도화동 먹자골목 중심 / 내부 분리화장실 / 주차 2대</t>
  </si>
  <si>
    <t>인천시 미추홀구 주안동 395-26</t>
  </si>
  <si>
    <t>수원시 권선구 호매실동 1363-2</t>
  </si>
  <si>
    <t>1층~2층</t>
  </si>
  <si>
    <t>짜마차이나</t>
  </si>
  <si>
    <t>약150평</t>
  </si>
  <si>
    <t>3억</t>
  </si>
  <si>
    <t>2층~4층 주차타워 / 건물 내 공용화장실</t>
  </si>
  <si>
    <t>인천시 미추홀구 주안동 118-5</t>
  </si>
  <si>
    <t>어사출또</t>
  </si>
  <si>
    <t>1억2,000</t>
  </si>
  <si>
    <t>1층 30평 / 2층 60평</t>
  </si>
  <si>
    <t>영등포구 여의도동 45-5</t>
  </si>
  <si>
    <t>푸른바다</t>
  </si>
  <si>
    <t>기본관리비 평당 13,000원</t>
  </si>
  <si>
    <t>낭만솥뚜껑</t>
  </si>
  <si>
    <t>영등포구 여의도동 17</t>
  </si>
  <si>
    <t>도약</t>
  </si>
  <si>
    <t>약33.69평</t>
  </si>
  <si>
    <t>KBS방송국 앞 / 주차 점주 1대 / 방문객 1시간 무료</t>
  </si>
  <si>
    <t>인천시 서구 원당동 1043-5</t>
  </si>
  <si>
    <t>1억3,000</t>
  </si>
  <si>
    <t>기존 청라꽃갈비 자리 / 철거 진행중 / 3개 호실 사용 조건, 일부 사용 가능</t>
  </si>
  <si>
    <t>강남구 역삼동 818-11</t>
  </si>
  <si>
    <t>광장818</t>
  </si>
  <si>
    <t>강남역 도보 약 2분 / 내부 남녀구분 화장실 / 홀+테라스</t>
  </si>
  <si>
    <t>송파구 방이동 201-3</t>
  </si>
  <si>
    <t>속이꽉찬만두</t>
  </si>
  <si>
    <t>송파구 방이동 202-12</t>
  </si>
  <si>
    <t>몽돼지</t>
  </si>
  <si>
    <t>송파구 방이동 204-3</t>
  </si>
  <si>
    <t>신축건물</t>
  </si>
  <si>
    <t>송파구 방이동 204-4</t>
  </si>
  <si>
    <t>송파구 방이동 190-7</t>
  </si>
  <si>
    <t>해선수</t>
  </si>
  <si>
    <t>송파구 방이동 191-4</t>
  </si>
  <si>
    <t>구 애니원</t>
  </si>
  <si>
    <t>송파구 방이동 149-11</t>
  </si>
  <si>
    <t>구 나루터포차</t>
  </si>
  <si>
    <t>송파구 방이동 110-7</t>
  </si>
  <si>
    <t>광복집</t>
  </si>
  <si>
    <t>송파구 방이동 145-35</t>
  </si>
  <si>
    <t>더벤티</t>
  </si>
  <si>
    <t>송파구 방이동 51-4</t>
  </si>
  <si>
    <t>신선푸드</t>
  </si>
  <si>
    <t>83평</t>
  </si>
  <si>
    <t>뒤쪽 전자담배 11평 1억/950</t>
  </si>
  <si>
    <t>오산시 궐동 685-6</t>
  </si>
  <si>
    <t>왕새우+꼼장어</t>
  </si>
  <si>
    <t>약65평</t>
  </si>
  <si>
    <t>철거완료 / 전면·후면 샷시 새 시공 / 세교2지구</t>
  </si>
  <si>
    <t>용인시 기흥구 영덕동 782-1</t>
  </si>
  <si>
    <t>품육</t>
  </si>
  <si>
    <t>54.5평</t>
  </si>
  <si>
    <t>뒤편 주차장 있음 / 저녁시간 단독사용 / 시설 곧 철거 예정</t>
  </si>
  <si>
    <t>화성시 병점구 진안동 878-24</t>
  </si>
  <si>
    <t>하늘맥주</t>
  </si>
  <si>
    <t>약75평</t>
  </si>
  <si>
    <t>3층 통임대 / 1층 35평, 2층 35평, 3층 루프탑 5평</t>
  </si>
  <si>
    <t>화성시 동탄구 반송동 27</t>
  </si>
  <si>
    <t>황부자</t>
  </si>
  <si>
    <t>화성시 동탄구 장지동 834-3</t>
  </si>
  <si>
    <t>동탄복집</t>
  </si>
  <si>
    <t>오산시 금암동 542-13</t>
  </si>
  <si>
    <t>조선1607샤브칼국수</t>
  </si>
  <si>
    <t>74평</t>
  </si>
  <si>
    <t>옆 부지 공영주차장 5월 준공</t>
  </si>
  <si>
    <t>용인시 기흥구 언남동 372-3</t>
  </si>
  <si>
    <t>뒤편 주차장 9대 / 저녁시간 단독사용 / 시설 곧 철거 예정</t>
  </si>
  <si>
    <t>새솔동 52-3</t>
  </si>
  <si>
    <t>33평+10평</t>
  </si>
  <si>
    <t>놀이방 별도 보증금 1,000 / 임대료 110 / 대로변 가시성 좋음 / 고깃집 시설·놀이방 시설</t>
  </si>
  <si>
    <t>인천 부평구 부평동 202-6</t>
  </si>
  <si>
    <t>부평역세권 / 대로변 가시성 좋음</t>
  </si>
  <si>
    <t>김포시 감정동 502-24</t>
  </si>
  <si>
    <t>황산면옥</t>
  </si>
  <si>
    <t>약60평</t>
  </si>
  <si>
    <t>김포시 구래동 6883-1</t>
  </si>
  <si>
    <t>1층+복층</t>
  </si>
  <si>
    <t>1층 38평 / 복층 22평 / 유동인구 많은 곳 / 구래역 도보 5분</t>
  </si>
  <si>
    <t>김포시 장기동 2032-2</t>
  </si>
  <si>
    <t>김포시 장기동 2025-1</t>
  </si>
  <si>
    <t>같은 주소 다른 조건</t>
  </si>
  <si>
    <t>김포시 풍무동 602</t>
  </si>
  <si>
    <t>주차 20대 / 남녀구분 화장실</t>
  </si>
  <si>
    <t>인천시 부평구 부평동 182-10</t>
  </si>
  <si>
    <t>장가참숯양다리구이</t>
  </si>
  <si>
    <t>김포시 고촌읍 신곡리 447-75</t>
  </si>
  <si>
    <t>약55평</t>
  </si>
  <si>
    <t>김포시 풍무동 897</t>
  </si>
  <si>
    <t>김포시 걸포동 1574-3</t>
  </si>
  <si>
    <t>약48평</t>
  </si>
  <si>
    <t>지역/주소</t>
  </si>
  <si>
    <t>인천시 계양구 작전동 448-1</t>
  </si>
  <si>
    <t>약92.96평</t>
  </si>
  <si>
    <t>인천시 계양구 작전동 900-5</t>
  </si>
  <si>
    <t>갯마을</t>
  </si>
  <si>
    <t>1층 30평 / 2층 42평</t>
  </si>
  <si>
    <t>문의</t>
  </si>
  <si>
    <t>부천시 소사구 심곡본동 730-6</t>
  </si>
  <si>
    <t>부천시 원미구 심곡동 174-6</t>
  </si>
  <si>
    <t>시설권리금 있음 / 시스템에어컨2 + 벽걸이1</t>
  </si>
  <si>
    <t>안산시 상록구 본오동 914-3</t>
  </si>
  <si>
    <t>부천시 원미구 역곡동 80-8</t>
  </si>
  <si>
    <t>국민삼겹살</t>
  </si>
  <si>
    <t>41평</t>
  </si>
  <si>
    <t>고정 단체손님 많음 / 길건너 광장 생김</t>
  </si>
  <si>
    <t>부천시 원미구 역곡동 45-14</t>
  </si>
  <si>
    <t>하남돼지집</t>
  </si>
  <si>
    <t>김포시 운양동 1417-2</t>
  </si>
  <si>
    <t>신대박집</t>
  </si>
  <si>
    <t>인천시 계양구 작전동 905-1</t>
  </si>
  <si>
    <t>부천시 원미구 역곡동 79-4</t>
  </si>
  <si>
    <t>착한돈삼이네</t>
  </si>
  <si>
    <t>부천시 원미구 역곡동 45-10</t>
  </si>
  <si>
    <t>번양집</t>
  </si>
  <si>
    <t>약27평</t>
  </si>
  <si>
    <t>창고 있음 / 주차 3대 / 내부화장실</t>
  </si>
  <si>
    <t>시흥시 은행동 646-4</t>
  </si>
  <si>
    <t>약37.5평</t>
  </si>
  <si>
    <t>19평 5,000/450, 18.5평 5,000/430 분할 가능</t>
  </si>
  <si>
    <t>종로구 신문로1가 7-5</t>
  </si>
  <si>
    <t>칠돈가</t>
  </si>
  <si>
    <t>종로구 당주동 21-1</t>
  </si>
  <si>
    <t>동천홍</t>
  </si>
  <si>
    <t>3층 공간도 있음 / 실제 약70평 정도라고 함</t>
  </si>
  <si>
    <t>종로구 당주동 170-2</t>
  </si>
  <si>
    <t>광화문용두쭈꾸미</t>
  </si>
  <si>
    <t>약22평</t>
  </si>
  <si>
    <t>종로구 당주동 37-6</t>
  </si>
  <si>
    <t>동베이</t>
  </si>
  <si>
    <t>2층 20평 / 3층 20평</t>
  </si>
  <si>
    <t>종로구 종로2가 102-1</t>
  </si>
  <si>
    <t>종로구 관철동 10-23</t>
  </si>
  <si>
    <t>등촌칼국수</t>
  </si>
  <si>
    <t>종로구 관철동 7-18</t>
  </si>
  <si>
    <t>달떡볶이+편의점</t>
  </si>
  <si>
    <t>서대문구 홍제동 169-4</t>
  </si>
  <si>
    <t>역전우동</t>
  </si>
  <si>
    <t>홍제역 3번 출구 앞 / 대로변 가시성 좋음</t>
  </si>
  <si>
    <t>민물장어</t>
  </si>
  <si>
    <t>홍제삼거리 대로변 / 노출 우수 / 다음 세입자 월세 부가세 포함 500</t>
  </si>
  <si>
    <t>중구 남대문로1가 21</t>
  </si>
  <si>
    <t>마라공방</t>
  </si>
  <si>
    <t>약27.67평</t>
  </si>
  <si>
    <t>은평구 응암동 91-3</t>
  </si>
  <si>
    <t>양쪽 출입문 / 버스정류장 앞</t>
  </si>
  <si>
    <t>21평</t>
  </si>
  <si>
    <t>은평구 대조동 198-10</t>
  </si>
  <si>
    <t>연신내역 초역세권 1층 랜드마크급 입지 / 압도적인 가시성</t>
  </si>
  <si>
    <t>중구 북창동 18-9</t>
  </si>
  <si>
    <t>커피숍만 가능</t>
  </si>
  <si>
    <t>1층 102호</t>
  </si>
  <si>
    <t>1층 101호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</si>
</sst>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sz val="12"/>
      <color rgb="FF1C1C1C"/>
      <name val="Arial"/>
      <family val="2"/>
    </font>
    <font>
      <i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38">
    <xf numFmtId="0" fontId="0" fillId="0" borderId="0" xfId="0"/>
    <xf numFmtId="41" fontId="1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2" fillId="0" borderId="0" xfId="1" applyFont="1" applyAlignment="1" applyProtection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2" borderId="0" xfId="1" applyFont="1" applyFill="1" applyAlignment="1">
      <alignment horizontal="center" vertical="center"/>
    </xf>
    <xf numFmtId="41" fontId="2" fillId="2" borderId="0" xfId="1" applyFont="1" applyFill="1" applyAlignment="1" applyProtection="1">
      <alignment horizontal="center" vertical="center"/>
    </xf>
    <xf numFmtId="41" fontId="6" fillId="0" borderId="0" xfId="1" applyFont="1" applyAlignment="1">
      <alignment horizontal="center" vertical="center"/>
    </xf>
    <xf numFmtId="41" fontId="0" fillId="0" borderId="0" xfId="1" applyFont="1" applyAlignment="1">
      <alignment horizontal="center" vertical="center" wrapText="1"/>
    </xf>
    <xf numFmtId="41" fontId="8" fillId="0" borderId="0" xfId="1" applyFont="1" applyAlignment="1">
      <alignment horizontal="center" vertical="center" wrapText="1"/>
    </xf>
    <xf numFmtId="41" fontId="7" fillId="0" borderId="0" xfId="1" applyFont="1" applyAlignment="1">
      <alignment horizontal="center" vertical="center" wrapText="1"/>
    </xf>
    <xf numFmtId="41" fontId="6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2" applyAlignment="1">
      <alignment horizontal="center" vertical="center" wrapText="1"/>
    </xf>
    <xf numFmtId="41" fontId="6" fillId="0" borderId="0" xfId="2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0" borderId="0" xfId="2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6" fillId="0" borderId="0" xfId="2" applyAlignment="1">
      <alignment vertical="center" wrapText="1"/>
    </xf>
    <xf numFmtId="3" fontId="0" fillId="0" borderId="0" xfId="0" applyNumberFormat="1" applyAlignment="1">
      <alignment vertical="center" wrapText="1"/>
    </xf>
    <xf numFmtId="41" fontId="0" fillId="0" borderId="0" xfId="1" applyFont="1" applyAlignment="1">
      <alignment horizontal="left" vertical="center"/>
    </xf>
    <xf numFmtId="41" fontId="0" fillId="0" borderId="0" xfId="1" applyFont="1" applyAlignment="1">
      <alignment vertical="center"/>
    </xf>
    <xf numFmtId="41" fontId="0" fillId="0" borderId="0" xfId="1" applyFont="1" applyAlignment="1">
      <alignment horizontal="left" vertical="center" wrapText="1"/>
    </xf>
    <xf numFmtId="41" fontId="0" fillId="0" borderId="0" xfId="1" applyFont="1" applyAlignment="1">
      <alignment vertical="center" wrapText="1"/>
    </xf>
    <xf numFmtId="41" fontId="6" fillId="0" borderId="0" xfId="1" applyFont="1" applyAlignment="1">
      <alignment vertical="center" wrapText="1"/>
    </xf>
    <xf numFmtId="0" fontId="0" fillId="0" borderId="0" xfId="0" applyAlignment="1">
      <alignment horizontal="right" vertical="center" wrapText="1"/>
    </xf>
    <xf numFmtId="41" fontId="0" fillId="0" borderId="0" xfId="1" applyFont="1" applyAlignment="1">
      <alignment horizontal="right" vertical="center" wrapText="1"/>
    </xf>
    <xf numFmtId="41" fontId="0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6" fillId="0" borderId="0" xfId="2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6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3E329-A648-4774-AFAC-1037DE84C9AE}" name="표1" displayName="표1" ref="A1:A1048576" totalsRowShown="0" headerRowDxfId="5" dataDxfId="4" headerRowCellStyle="쉼표 [0]" dataCellStyle="쉼표 [0]">
  <autoFilter ref="A1:A1048576" xr:uid="{BAB3E329-A648-4774-AFAC-1037DE84C9AE}">
    <filterColumn colId="0">
      <filters>
        <filter val="광진구 광장동 320-8"/>
        <filter val="광진구 중곡동 132-11"/>
        <filter val="서울 광진구 광장동 326-13"/>
        <filter val="서울 광진구 광장동 331-3"/>
        <filter val="서울 광진구 군자동 472-1"/>
        <filter val="서울 광진구 능동 235-1"/>
        <filter val="서울 광진구 자양동 779-6"/>
      </filters>
    </filterColumn>
  </autoFilter>
  <tableColumns count="1">
    <tableColumn id="1" xr3:uid="{66D33043-EA42-45F8-A9AA-B2F396928061}" name="11월26일" dataDxfId="3" dataCellStyle="쉼표 [0]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183420-8C1C-49A2-AE30-8440E6001561}" name="표2" displayName="표2" ref="A1:A1048512" totalsRowShown="0" headerRowDxfId="1" dataDxfId="0">
  <autoFilter ref="A1:A1048512" xr:uid="{AD183420-8C1C-49A2-AE30-8440E6001561}"/>
  <tableColumns count="1">
    <tableColumn id="1" xr3:uid="{21314378-A904-4B4E-98F8-6061985D9A1A}" name="주소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.kakao.com/?q=%EA%B5%B0%ED%8F%AC%EC%8B%9C%20%EC%82%B0%EB%B3%B8%EB%8F%99%201142-7" TargetMode="External"/><Relationship Id="rId21" Type="http://schemas.openxmlformats.org/officeDocument/2006/relationships/hyperlink" Target="https://map.naver.com/p/search/&#49436;&#50872;%20&#44053;&#46041;&#44396;%20&#49457;&#45236;&#46041;%20320-8" TargetMode="External"/><Relationship Id="rId42" Type="http://schemas.openxmlformats.org/officeDocument/2006/relationships/hyperlink" Target="https://map.naver.com/p/search/&#44221;&#44592;&#46020;%20&#54868;&#49457;&#49884;%20&#48152;&#50900;&#46041;%20980-2%201&#52789;%20&#54144;&#48708;&#50612;&#53433;" TargetMode="External"/><Relationship Id="rId63" Type="http://schemas.openxmlformats.org/officeDocument/2006/relationships/hyperlink" Target="https://map.kakao.com/?q=%EC%9D%80%ED%8F%89%EA%B5%AC%20%EA%B0%88%ED%98%84%EB%8F%99%20455-14" TargetMode="External"/><Relationship Id="rId84" Type="http://schemas.openxmlformats.org/officeDocument/2006/relationships/hyperlink" Target="https://map.kakao.com/?q=%ED%99%94%EC%84%B1%EC%8B%9C%20%EC%84%9D%EC%9A%B0%EB%8F%99%2034-5%20" TargetMode="External"/><Relationship Id="rId138" Type="http://schemas.openxmlformats.org/officeDocument/2006/relationships/hyperlink" Target="https://map.kakao.com/?q=%EC%84%9C%EC%9A%B8%ED%8A%B9%EB%B3%84%EC%8B%9C%20%EC%9D%80%ED%8F%89%EA%B5%AC%20%EA%B0%88%ED%98%84%EB%8F%99%20452-15" TargetMode="External"/><Relationship Id="rId159" Type="http://schemas.openxmlformats.org/officeDocument/2006/relationships/hyperlink" Target="https://map.kakao.com/?q=%EC%84%9C%EC%9A%B8%20%EB%8F%99%EB%8C%80%EB%AC%B8%EA%B5%AC%20%EC%9D%B4%EB%AC%B8%EB%8F%99%20257-42" TargetMode="External"/><Relationship Id="rId170" Type="http://schemas.openxmlformats.org/officeDocument/2006/relationships/hyperlink" Target="https://map.kakao.com/?q=%EC%84%9C%EC%9A%B8%20%EC%A4%91%EB%9E%91%EA%B5%AC%20%EB%A9%B4%EB%AA%A9%EB%8F%99%20604-41" TargetMode="External"/><Relationship Id="rId191" Type="http://schemas.openxmlformats.org/officeDocument/2006/relationships/hyperlink" Target="https://map.kakao.com/?q=%EC%84%9C%EC%9A%B8%20%EA%B0%95%EB%82%A8%EA%B5%AC%20%EB%8F%84%EA%B3%A1%EB%8F%99%20953-1" TargetMode="External"/><Relationship Id="rId205" Type="http://schemas.openxmlformats.org/officeDocument/2006/relationships/hyperlink" Target="https://map.kakao.com/?q=%EC%B2%98%EC%9D%B8%EA%B5%AC%20%EC%97%AD%EB%B6%81%EB%8F%99%20749" TargetMode="External"/><Relationship Id="rId226" Type="http://schemas.openxmlformats.org/officeDocument/2006/relationships/hyperlink" Target="https://map.kakao.com/?q=%EC%9D%B8%EC%B2%9C%20%EC%97%B0%EC%88%98%EA%B5%AC%20%EC%97%B0%EC%88%98%EB%8F%99%20601-16" TargetMode="External"/><Relationship Id="rId247" Type="http://schemas.openxmlformats.org/officeDocument/2006/relationships/hyperlink" Target="https://map.naver.com/v5/search/%EC%9A%A9%EC%9D%B8%EC%8B%9C%20%EC%B2%98%EC%9D%B8%EA%B5%AC%20%EA%B9%80%EB%9F%89%EC%9E%A5%EB%8F%99%20314-7" TargetMode="External"/><Relationship Id="rId107" Type="http://schemas.openxmlformats.org/officeDocument/2006/relationships/hyperlink" Target="https://map.kakao.com/link/search/%EC%84%9C%EC%9A%B8%ED%8A%B9%EB%B3%84%EC%8B%9C%20%EC%9D%80%ED%8F%89%EA%B5%AC%20%EA%B0%88%ED%98%84%EB%8F%99%20450-22" TargetMode="External"/><Relationship Id="rId11" Type="http://schemas.openxmlformats.org/officeDocument/2006/relationships/hyperlink" Target="https://map.naver.com/p/search/&#49436;&#50872;%20&#49457;&#46041;&#44396;%20&#50773;&#49901;&#47532;&#47196;%20410%20&#49468;&#53944;&#46972;&#49828;&#50500;&#54028;&#53944;" TargetMode="External"/><Relationship Id="rId32" Type="http://schemas.openxmlformats.org/officeDocument/2006/relationships/hyperlink" Target="https://map.naver.com/p/search/&#49436;&#50872;&#53945;&#48324;&#49884;%20&#49457;&#46041;&#44396;%20&#54616;&#50773;&#49901;&#47532;&#46041;%201070%20&#51021;&#52380;&#47532;382" TargetMode="External"/><Relationship Id="rId53" Type="http://schemas.openxmlformats.org/officeDocument/2006/relationships/hyperlink" Target="https://map.naver.com/p/search/&#51008;&#54217;&#44396;%20&#51025;&#50516;&#46041;%20578-21" TargetMode="External"/><Relationship Id="rId74" Type="http://schemas.openxmlformats.org/officeDocument/2006/relationships/hyperlink" Target="https://map.kakao.com/?q=&#46041;&#51089;&#44396;%20&#55121;&#49437;&#46041;%20195-19" TargetMode="External"/><Relationship Id="rId128" Type="http://schemas.openxmlformats.org/officeDocument/2006/relationships/hyperlink" Target="https://map.kakao.com/?q=%EC%9D%B8%EC%B2%9C%EA%B4%91%EC%97%AD%EC%8B%9C%20%EB%82%A8%EB%8F%99%EA%B5%AC%20%EA%B0%84%EC%84%9D%EB%8F%99%20394-9" TargetMode="External"/><Relationship Id="rId149" Type="http://schemas.openxmlformats.org/officeDocument/2006/relationships/hyperlink" Target="https://map.kakao.com/?q=%EA%B5%B0%ED%8F%AC%EC%8B%9C%20%EC%82%B0%EB%B3%B8%EB%8F%99%201142-2" TargetMode="External"/><Relationship Id="rId5" Type="http://schemas.openxmlformats.org/officeDocument/2006/relationships/hyperlink" Target="https://map.naver.com/p/search/&#49436;&#50872;%20&#44053;&#46041;&#44396;%20&#49457;&#45236;&#46041;%20413-7" TargetMode="External"/><Relationship Id="rId95" Type="http://schemas.openxmlformats.org/officeDocument/2006/relationships/hyperlink" Target="https://map.kakao.com/link/search/%EC%B6%A9%EC%B2%AD%EB%B6%81%EB%8F%84%20%EC%B2%AD%EC%A3%BC%EC%8B%9C%20%EC%83%81%EB%8B%B9%EA%B5%AC%20%EC%9A%A9%EB%8B%B4%EB%8F%99%20391" TargetMode="External"/><Relationship Id="rId160" Type="http://schemas.openxmlformats.org/officeDocument/2006/relationships/hyperlink" Target="https://map.kakao.com/?q=%EC%9D%B8%EC%B2%9C%20%EB%82%A8%EB%8F%99%EA%B5%AC%20%EB%A7%8C%EC%88%98%EB%8F%99%20981" TargetMode="External"/><Relationship Id="rId181" Type="http://schemas.openxmlformats.org/officeDocument/2006/relationships/hyperlink" Target="https://map.kakao.com/?q=%EC%84%9C%EC%9A%B8%20%EC%A4%91%EB%9E%91%EA%B5%AC%20%EC%83%81%EB%B4%89%EB%8F%99%20102" TargetMode="External"/><Relationship Id="rId216" Type="http://schemas.openxmlformats.org/officeDocument/2006/relationships/hyperlink" Target="https://map.kakao.com/?q=%EC%9D%B8%EC%B2%9C%20%EC%97%B0%EC%88%98%EA%B5%AC%20%EC%97%B0%EC%88%98%EB%8F%99%20598-12" TargetMode="External"/><Relationship Id="rId237" Type="http://schemas.openxmlformats.org/officeDocument/2006/relationships/hyperlink" Target="https://map.kakao.com/?q=%EC%9D%98%EC%99%95%EC%8B%9C%20%EC%82%BC%EB%8F%99%20146-81" TargetMode="External"/><Relationship Id="rId22" Type="http://schemas.openxmlformats.org/officeDocument/2006/relationships/hyperlink" Target="https://map.naver.com/p/search/&#49436;&#50872;%20&#49436;&#52488;&#44396;%20&#48169;&#48176;&#46041;%20985-2" TargetMode="External"/><Relationship Id="rId43" Type="http://schemas.openxmlformats.org/officeDocument/2006/relationships/hyperlink" Target="https://map.naver.com/p/search/&#44221;&#44592;&#46020;%20&#49688;&#50896;&#49884;%20&#50689;&#53685;&#44396;%20&#47588;&#53444;&#46041;%20436-74%201&#52789;%20&#46972;&#46524;&#51060;&#51592;&#54848;&#49828;" TargetMode="External"/><Relationship Id="rId64" Type="http://schemas.openxmlformats.org/officeDocument/2006/relationships/hyperlink" Target="https://map.kakao.com/?q=%EC%9D%80%ED%8F%89%EA%B5%AC%20%EA%B0%88%ED%98%84%EB%8F%99%20430-4" TargetMode="External"/><Relationship Id="rId118" Type="http://schemas.openxmlformats.org/officeDocument/2006/relationships/hyperlink" Target="https://map.kakao.com/?q=%EA%B5%B0%ED%8F%AC%EC%8B%9C%20%EC%82%B0%EB%B3%B8%EB%8F%99%201142-7" TargetMode="External"/><Relationship Id="rId139" Type="http://schemas.openxmlformats.org/officeDocument/2006/relationships/hyperlink" Target="https://map.kakao.com/?q=%EB%B6%80%ED%8F%89%EA%B5%AC%20%EC%B2%AD%EC%B2%9C%EB%8F%99%20190-3" TargetMode="External"/><Relationship Id="rId85" Type="http://schemas.openxmlformats.org/officeDocument/2006/relationships/hyperlink" Target="https://map.kakao.com/?q=%EC%84%9C%EC%9A%B8%20%EB%A7%88%ED%8F%AC%EA%B5%AC%20%EB%A7%88%ED%8F%AC%EB%8F%99%20192" TargetMode="External"/><Relationship Id="rId150" Type="http://schemas.openxmlformats.org/officeDocument/2006/relationships/hyperlink" Target="https://map.kakao.com/?q=%EA%B5%B0%ED%8F%AC%EC%8B%9C%20%EC%82%B0%EB%B3%B8%EB%8F%99%201142-8" TargetMode="External"/><Relationship Id="rId171" Type="http://schemas.openxmlformats.org/officeDocument/2006/relationships/hyperlink" Target="https://map.kakao.com/?q=%EA%B2%BD%EA%B8%B0%20%EC%8B%9C%ED%9D%A5%EC%8B%9C%20%EB%B0%B0%EA%B3%A7%EB%8F%99%20218" TargetMode="External"/><Relationship Id="rId192" Type="http://schemas.openxmlformats.org/officeDocument/2006/relationships/hyperlink" Target="https://map.kakao.com/?q=%EC%84%9C%EC%9A%B8%20%EC%9A%A9%EC%82%B0%EA%B5%AC%20%EB%8F%99%EC%9E%90%EB%8F%99%2043-52" TargetMode="External"/><Relationship Id="rId206" Type="http://schemas.openxmlformats.org/officeDocument/2006/relationships/hyperlink" Target="https://map.kakao.com/?q=%EC%B2%98%EC%9D%B8%EA%B5%AC%20%EC%97%AD%EB%B6%81%EB%8F%99%20752" TargetMode="External"/><Relationship Id="rId227" Type="http://schemas.openxmlformats.org/officeDocument/2006/relationships/hyperlink" Target="https://map.kakao.com/?q=%EA%B2%BD%EA%B8%B0%20%EC%9A%A9%EC%9D%B8%EC%8B%9C%20%EA%B8%B0%ED%9D%A5%EA%B5%AC%20%EB%B3%B4%EB%9D%BC%EB%8F%99%20607" TargetMode="External"/><Relationship Id="rId248" Type="http://schemas.openxmlformats.org/officeDocument/2006/relationships/hyperlink" Target="https://map.naver.com/v5/search/%EA%B2%BD%EA%B8%B0%20%EC%8B%9C%ED%9D%A5%EC%8B%9C%20%EC%9E%A5%ED%98%84%EB%8F%99%20545-4" TargetMode="External"/><Relationship Id="rId12" Type="http://schemas.openxmlformats.org/officeDocument/2006/relationships/hyperlink" Target="https://map.naver.com/p/search/&#49436;&#50872;%20&#44053;&#46041;&#44396;%20&#49457;&#45236;&#46041;%20456-3" TargetMode="External"/><Relationship Id="rId33" Type="http://schemas.openxmlformats.org/officeDocument/2006/relationships/hyperlink" Target="https://map.naver.com/p/search/&#49436;&#50872;&#53945;&#48324;&#49884;%20&#49457;&#46041;&#44396;%20&#50773;&#49901;&#47532;&#47196;%20410%20&#49468;&#53944;&#46972;&#49828;&#50500;&#54028;&#53944;%20(&#44396;%20&#45824;&#46041;&#51665;,%20&#50732;&#47532;&#48652;&#50689;%20&#50694;)" TargetMode="External"/><Relationship Id="rId108" Type="http://schemas.openxmlformats.org/officeDocument/2006/relationships/hyperlink" Target="https://map.kakao.com/link/search/%EC%84%9C%EC%9A%B8%ED%8A%B9%EB%B3%84%EC%8B%9C%20%EC%9D%80%ED%8F%89%EA%B5%AC%20%EA%B0%88%ED%98%84%EB%8F%99%20448-38" TargetMode="External"/><Relationship Id="rId129" Type="http://schemas.openxmlformats.org/officeDocument/2006/relationships/hyperlink" Target="https://map.kakao.com/?q=%EC%83%81%EB%A1%9D%EA%B5%AC%20%EC%82%AC%EB%8F%99%201385-10" TargetMode="External"/><Relationship Id="rId54" Type="http://schemas.openxmlformats.org/officeDocument/2006/relationships/hyperlink" Target="https://map.kakao.com/?q=%EC%9D%80%ED%8F%89%EA%B5%AC%20%EA%B0%88%ED%98%84%EB%8F%99%20453-9" TargetMode="External"/><Relationship Id="rId75" Type="http://schemas.openxmlformats.org/officeDocument/2006/relationships/hyperlink" Target="https://map.kakao.com/?q=&#46041;&#51089;&#44396;%20&#55121;&#49437;&#46041;%20207-19" TargetMode="External"/><Relationship Id="rId96" Type="http://schemas.openxmlformats.org/officeDocument/2006/relationships/hyperlink" Target="https://map.kakao.com/link/search/%EC%B6%A9%EC%B2%AD%EB%B6%81%EB%8F%84%20%EC%B2%AD%EC%A3%BC%EC%8B%9C%20%EC%83%81%EB%8B%B9%EA%B5%AC%20%EC%9A%A9%EB%8B%B4%EB%8F%99%20383" TargetMode="External"/><Relationship Id="rId140" Type="http://schemas.openxmlformats.org/officeDocument/2006/relationships/hyperlink" Target="https://map.kakao.com/?q=%EC%A4%91%EA%B5%AC%20%EC%A0%80%EB%8F%992%EA%B0%80%2016-3" TargetMode="External"/><Relationship Id="rId161" Type="http://schemas.openxmlformats.org/officeDocument/2006/relationships/hyperlink" Target="https://map.kakao.com/?q=%EC%84%9C%EC%9A%B8%20%EB%8F%99%EB%8C%80%EB%AC%B8%EA%B5%AC%20%EC%9D%B4%EB%AC%B8%EB%8F%99%20305-6" TargetMode="External"/><Relationship Id="rId182" Type="http://schemas.openxmlformats.org/officeDocument/2006/relationships/hyperlink" Target="https://map.kakao.com/?q=%EC%84%9C%EC%9A%B8%20%EC%A4%91%EB%9E%91%EA%B5%AC%20%EC%83%81%EB%B4%89%EB%8F%99%20130" TargetMode="External"/><Relationship Id="rId217" Type="http://schemas.openxmlformats.org/officeDocument/2006/relationships/hyperlink" Target="https://map.kakao.com/?q=%EC%9D%B8%EC%B2%9C%20%EC%97%B0%EC%88%98%EA%B5%AC%20%EC%86%A1%EB%8F%84%EB%8F%99%203-2" TargetMode="External"/><Relationship Id="rId6" Type="http://schemas.openxmlformats.org/officeDocument/2006/relationships/hyperlink" Target="https://map.naver.com/p/search/&#49436;&#50872;%20&#44053;&#46041;&#44396;%20&#49457;&#45236;&#46041;%20416-8" TargetMode="External"/><Relationship Id="rId238" Type="http://schemas.openxmlformats.org/officeDocument/2006/relationships/hyperlink" Target="https://map.kakao.com/?q=%EC%9D%98%EC%99%95%EC%8B%9C%20%EC%82%BC%EB%8F%99%20192-12" TargetMode="External"/><Relationship Id="rId23" Type="http://schemas.openxmlformats.org/officeDocument/2006/relationships/hyperlink" Target="https://map.naver.com/p/search/&#49436;&#50872;%20&#44053;&#45224;&#44396;%20&#44060;&#54252;&#46041;%201217-1" TargetMode="External"/><Relationship Id="rId119" Type="http://schemas.openxmlformats.org/officeDocument/2006/relationships/hyperlink" Target="https://map.kakao.com/?q=%EA%B5%B0%ED%8F%AC%EC%8B%9C%20%EC%82%B0%EB%B3%B8%EB%8F%99%201130-1" TargetMode="External"/><Relationship Id="rId44" Type="http://schemas.openxmlformats.org/officeDocument/2006/relationships/hyperlink" Target="https://map.naver.com/p/search/&#44221;&#44592;&#46020;%20&#54868;&#49457;&#49884;%20&#48152;&#50900;&#46041;%20977-3%20&#45824;&#55141;&#54532;&#46972;&#51088;%201&#52789;%20105&#54840;%20&#54620;&#50864;&#51665;%20(&#51204;%20&#46020;&#49884;&#45453;&#50896;)" TargetMode="External"/><Relationship Id="rId65" Type="http://schemas.openxmlformats.org/officeDocument/2006/relationships/hyperlink" Target="https://map.kakao.com/?q=%EA%B0%95%EB%82%A8%EA%B5%AC%20%EC%9D%BC%EC%9B%90%EB%8F%99%20652-6" TargetMode="External"/><Relationship Id="rId86" Type="http://schemas.openxmlformats.org/officeDocument/2006/relationships/hyperlink" Target="https://map.kakao.com/?q=%EC%84%9C%EC%9A%B8%20%EB%A7%88%ED%8F%AC%EA%B5%AC%20%EB%8F%84%ED%99%94%EB%8F%99%20250-8" TargetMode="External"/><Relationship Id="rId130" Type="http://schemas.openxmlformats.org/officeDocument/2006/relationships/hyperlink" Target="https://map.kakao.com/?q=%EC%9D%B8%EC%B2%9C%20%EB%B6%80%ED%8F%89%EA%B5%AC%20%EC%8B%AD%EC%A0%95%EB%8F%99%20408-11" TargetMode="External"/><Relationship Id="rId151" Type="http://schemas.openxmlformats.org/officeDocument/2006/relationships/hyperlink" Target="https://map.kakao.com/?q=%EA%B5%B0%ED%8F%AC%EC%8B%9C%20%EC%82%B0%EB%B3%B8%EB%8F%99%201131-2" TargetMode="External"/><Relationship Id="rId172" Type="http://schemas.openxmlformats.org/officeDocument/2006/relationships/hyperlink" Target="https://map.kakao.com/?q=%EA%B2%BD%EA%B8%B0%20%EC%8B%9C%ED%9D%A5%EC%8B%9C%20%EB%B0%B0%EA%B3%A7%EB%8F%99%20218" TargetMode="External"/><Relationship Id="rId193" Type="http://schemas.openxmlformats.org/officeDocument/2006/relationships/hyperlink" Target="https://map.kakao.com/?q=%EC%86%A1%ED%8C%8C%EA%B5%AC%20%EA%B0%80%EB%9D%BD%EB%8F%99%20123-7" TargetMode="External"/><Relationship Id="rId207" Type="http://schemas.openxmlformats.org/officeDocument/2006/relationships/hyperlink" Target="https://map.kakao.com/?q=%EC%B2%98%EC%9D%B8%EA%B5%AC%20%EC%97%AD%EB%B6%81%EB%8F%99%20754-1" TargetMode="External"/><Relationship Id="rId228" Type="http://schemas.openxmlformats.org/officeDocument/2006/relationships/hyperlink" Target="https://map.kakao.com/?q=%EA%B2%BD%EA%B8%B0%20%EC%9A%A9%EC%9D%B8%EC%8B%9C%20%EA%B8%B0%ED%9D%A5%EA%B5%AC%20%EB%B3%B4%EB%9D%BC%EB%8F%99%20578-4" TargetMode="External"/><Relationship Id="rId249" Type="http://schemas.openxmlformats.org/officeDocument/2006/relationships/hyperlink" Target="https://map.naver.com/v5/search/%EA%B2%BD%EA%B8%B0%20%ED%95%98%EB%82%A8%EC%8B%9C%20%EB%A7%9D%EC%9B%94%EB%8F%99%201119-1" TargetMode="External"/><Relationship Id="rId13" Type="http://schemas.openxmlformats.org/officeDocument/2006/relationships/hyperlink" Target="https://map.naver.com/p/search/&#49436;&#50872;%20&#44053;&#46041;&#44396;%20&#44600;&#46041;%20457-3" TargetMode="External"/><Relationship Id="rId109" Type="http://schemas.openxmlformats.org/officeDocument/2006/relationships/hyperlink" Target="https://map.kakao.com/?q=%EA%B2%BD%EA%B8%B0%20%EC%8B%9C%ED%9D%A5%EC%8B%9C%20%EB%8C%80%EC%95%BC%EB%8F%99%20529-3" TargetMode="External"/><Relationship Id="rId34" Type="http://schemas.openxmlformats.org/officeDocument/2006/relationships/hyperlink" Target="https://map.naver.com/p/search/&#49436;&#50872;&#53945;&#48324;&#49884;%20&#49457;&#46041;&#44396;%20&#50773;&#49901;&#47532;&#47196;%20410%20&#49468;&#53944;&#46972;&#49828;&#50500;&#54028;&#53944;%20(&#47560;&#45376;&#44608;&#48165;/&#50500;&#47492;&#48512;&#46041;&#49328;%20&#51473;&#44036;&#46972;&#51064;)" TargetMode="External"/><Relationship Id="rId55" Type="http://schemas.openxmlformats.org/officeDocument/2006/relationships/hyperlink" Target="https://map.kakao.com/?q=&#51008;&#54217;&#44396;%20&#44040;&#54788;&#46041;%20401-2" TargetMode="External"/><Relationship Id="rId76" Type="http://schemas.openxmlformats.org/officeDocument/2006/relationships/hyperlink" Target="https://map.kakao.com/?q=&#45224;&#46041;&#44396;%20&#44036;&#49437;&#46041;%20915-4" TargetMode="External"/><Relationship Id="rId97" Type="http://schemas.openxmlformats.org/officeDocument/2006/relationships/hyperlink" Target="https://map.kakao.com/link/search/%EC%B6%A9%EC%B2%AD%EB%B6%81%EB%8F%84%20%EC%B2%AD%EC%A3%BC%EC%8B%9C%20%EC%83%81%EB%8B%B9%EA%B5%AC%20%EA%B8%88%EC%B2%9C%EB%8F%99%20303" TargetMode="External"/><Relationship Id="rId120" Type="http://schemas.openxmlformats.org/officeDocument/2006/relationships/hyperlink" Target="https://map.kakao.com/?q=%EC%86%A1%ED%8C%8C%EA%B5%AC%20%EA%B0%80%EB%9D%BD%EB%8F%99%20141-5" TargetMode="External"/><Relationship Id="rId141" Type="http://schemas.openxmlformats.org/officeDocument/2006/relationships/hyperlink" Target="https://map.kakao.com/?q=%EC%A4%91%EA%B5%AC%20%EC%B4%88%EB%8F%99%2019-4" TargetMode="External"/><Relationship Id="rId7" Type="http://schemas.openxmlformats.org/officeDocument/2006/relationships/hyperlink" Target="https://map.naver.com/p/search/&#49436;&#50872;%20&#49569;&#54028;&#44396;%20&#54413;&#45225;&#46041;%20477-4" TargetMode="External"/><Relationship Id="rId162" Type="http://schemas.openxmlformats.org/officeDocument/2006/relationships/hyperlink" Target="https://map.kakao.com/?q=%EC%84%9C%EC%9A%B8%20%EA%B0%95%EB%8F%99%EA%B5%AC%20%EC%95%94%EC%82%AC%EB%8F%99%20504-26" TargetMode="External"/><Relationship Id="rId183" Type="http://schemas.openxmlformats.org/officeDocument/2006/relationships/hyperlink" Target="https://map.kakao.com/?q=%EC%84%9C%EC%9A%B8%20%EC%A4%91%EB%9E%91%EA%B5%AC%20%EC%83%81%EB%B4%89%EB%8F%99%20121-72" TargetMode="External"/><Relationship Id="rId218" Type="http://schemas.openxmlformats.org/officeDocument/2006/relationships/hyperlink" Target="https://map.kakao.com/?q=%EC%9D%B8%EC%B2%9C%20%EC%97%B0%EC%88%98%EA%B5%AC%20%EC%86%A1%EB%8F%84%EB%8F%99%2021-34" TargetMode="External"/><Relationship Id="rId239" Type="http://schemas.openxmlformats.org/officeDocument/2006/relationships/hyperlink" Target="https://map.kakao.com/?q=%EC%9D%98%EC%99%95%EC%8B%9C%20%EC%82%BC%EB%8F%99%20192-38" TargetMode="External"/><Relationship Id="rId250" Type="http://schemas.openxmlformats.org/officeDocument/2006/relationships/hyperlink" Target="https://map.naver.com/v5/search/%EA%B2%BD%EA%B8%B0%20%ED%95%98%EB%82%A8%EC%8B%9C%20%EB%A7%9D%EC%9B%94%EB%8F%99%201121" TargetMode="External"/><Relationship Id="rId24" Type="http://schemas.openxmlformats.org/officeDocument/2006/relationships/hyperlink" Target="https://map.naver.com/p/search/&#49436;&#50872;%20&#49436;&#52488;&#44396;%20&#50577;&#51116;&#46041;%20327-7" TargetMode="External"/><Relationship Id="rId45" Type="http://schemas.openxmlformats.org/officeDocument/2006/relationships/hyperlink" Target="https://map.naver.com/p/search/&#44221;&#44592;&#46020;%20&#54868;&#49457;&#49884;%20&#49328;&#52377;&#46041;%20728-2%20&#50864;&#49457;&#50640;&#46272;&#53440;&#50868;%20112&#54840;%20&#54693;&#47532;&#50896;&#47560;&#46972;&#53461;" TargetMode="External"/><Relationship Id="rId66" Type="http://schemas.openxmlformats.org/officeDocument/2006/relationships/hyperlink" Target="https://map.kakao.com/?q=%EC%9D%80%ED%8F%89%EA%B5%AC%20%EA%B0%88%ED%98%84%EB%8F%99%20453-11" TargetMode="External"/><Relationship Id="rId87" Type="http://schemas.openxmlformats.org/officeDocument/2006/relationships/hyperlink" Target="https://map.kakao.com/?q=%EA%B2%BD%EA%B8%B0%20%EC%88%98%EC%9B%90%EC%8B%9C%20%EC%98%81%ED%86%B5%EA%B5%AC%20%EC%98%81%ED%86%B5%EB%A1%9C130%EB%B2%88%EA%B8%B8%2031" TargetMode="External"/><Relationship Id="rId110" Type="http://schemas.openxmlformats.org/officeDocument/2006/relationships/hyperlink" Target="https://map.kakao.com/?q=%EA%B8%88%EC%B2%9C%EA%B5%AC%20%EA%B0%80%EC%82%B0%EB%8F%99%2060-18" TargetMode="External"/><Relationship Id="rId131" Type="http://schemas.openxmlformats.org/officeDocument/2006/relationships/hyperlink" Target="https://map.kakao.com/?q=%EC%9D%B8%EC%B2%9C%20%EB%B6%80%ED%8F%89%EA%B5%AC%20%EC%8B%AD%EC%A0%95%EB%8F%99%20419-10" TargetMode="External"/><Relationship Id="rId152" Type="http://schemas.openxmlformats.org/officeDocument/2006/relationships/hyperlink" Target="https://map.kakao.com/?q=%EA%B5%B0%ED%8F%AC%EC%8B%9C%20%EC%82%B0%EB%B3%B8%EB%8F%99%201137-3" TargetMode="External"/><Relationship Id="rId173" Type="http://schemas.openxmlformats.org/officeDocument/2006/relationships/hyperlink" Target="https://map.kakao.com/?q=%EA%B2%BD%EA%B8%B0%20%EC%88%98%EC%9B%90%EC%8B%9C%20%EC%98%81%ED%86%B5%EA%B5%AC%20%EC%98%81%ED%86%B5%EB%8F%99%20975-10" TargetMode="External"/><Relationship Id="rId194" Type="http://schemas.openxmlformats.org/officeDocument/2006/relationships/hyperlink" Target="https://map.kakao.com/?q=%EA%B2%BD%EA%B8%B0%20%EB%B6%80%EC%B2%9C%EC%8B%9C%20%EC%9B%90%EB%AF%B8%EA%B5%AC%20%EC%97%AD%EA%B3%A1%EB%8F%99%2080-2" TargetMode="External"/><Relationship Id="rId208" Type="http://schemas.openxmlformats.org/officeDocument/2006/relationships/hyperlink" Target="https://map.kakao.com/?q=%EC%B2%98%EC%9D%B8%EA%B5%AC%20%EC%97%AD%EB%B6%81%EB%8F%99%20750-2" TargetMode="External"/><Relationship Id="rId229" Type="http://schemas.openxmlformats.org/officeDocument/2006/relationships/hyperlink" Target="https://map.kakao.com/?q=%EA%B2%BD%EA%B8%B0%20%EC%9A%A9%EC%9D%B8%EC%8B%9C%20%EA%B8%B0%ED%9D%A5%EA%B5%AC%20%EB%B3%B4%EB%9D%BC%EB%8F%99%20579-2" TargetMode="External"/><Relationship Id="rId240" Type="http://schemas.openxmlformats.org/officeDocument/2006/relationships/hyperlink" Target="https://map.kakao.com/?q=%EC%9D%98%EC%99%95%EC%8B%9C%20%EC%82%BC%EB%8F%99%20199-8" TargetMode="External"/><Relationship Id="rId14" Type="http://schemas.openxmlformats.org/officeDocument/2006/relationships/hyperlink" Target="https://map.naver.com/p/search/&#49436;&#50872;%20&#44053;&#46041;&#44396;%20&#44600;&#46041;%2096" TargetMode="External"/><Relationship Id="rId35" Type="http://schemas.openxmlformats.org/officeDocument/2006/relationships/hyperlink" Target="https://map.naver.com/p/search/&#49436;&#50872;&#53945;&#48324;&#49884;%20&#49457;&#46041;&#44396;%20&#50773;&#49901;&#47532;&#47196;%20410%20&#49468;&#53944;&#46972;&#49828;&#50500;&#54028;&#53944;%20(&#50628;&#51648;&#45348;%20&#50724;&#47480;&#51901;)" TargetMode="External"/><Relationship Id="rId56" Type="http://schemas.openxmlformats.org/officeDocument/2006/relationships/hyperlink" Target="https://map.kakao.com/?q=%EC%9D%80%ED%8F%89%EA%B5%AC%20%EA%B0%88%ED%98%84%EB%8F%99%20453-10" TargetMode="External"/><Relationship Id="rId77" Type="http://schemas.openxmlformats.org/officeDocument/2006/relationships/hyperlink" Target="https://map.kakao.com/?q=&#49436;&#50872;&#53945;&#48324;&#49884;%20&#49436;&#45824;&#47928;&#44396;%20&#48513;&#44032;&#51340;&#46041;%20292-12" TargetMode="External"/><Relationship Id="rId100" Type="http://schemas.openxmlformats.org/officeDocument/2006/relationships/hyperlink" Target="https://map.kakao.com/link/search/%EC%84%9C%EC%9A%B8%ED%8A%B9%EB%B3%84%EC%8B%9C%20%EC%9D%80%ED%8F%89%EA%B5%AC%20%EC%9D%91%EC%95%94%EB%8F%99%2088-28" TargetMode="External"/><Relationship Id="rId8" Type="http://schemas.openxmlformats.org/officeDocument/2006/relationships/hyperlink" Target="https://map.naver.com/p/search/&#49436;&#50872;%20&#49569;&#54028;&#44396;%20&#54413;&#45225;&#46041;%20477-4" TargetMode="External"/><Relationship Id="rId98" Type="http://schemas.openxmlformats.org/officeDocument/2006/relationships/hyperlink" Target="https://map.kakao.com/link/search/%EC%84%9C%EC%9A%B8%ED%8A%B9%EB%B3%84%EC%8B%9C%20%EC%9D%80%ED%8F%89%EA%B5%AC%20%EB%8C%80%EC%A1%B0%EB%8F%99%20187-53" TargetMode="External"/><Relationship Id="rId121" Type="http://schemas.openxmlformats.org/officeDocument/2006/relationships/hyperlink" Target="https://map.kakao.com/?q=%EA%B4%91%EC%A7%84%EA%B5%AC%20%EB%8A%A5%EB%8F%99%20235-1" TargetMode="External"/><Relationship Id="rId142" Type="http://schemas.openxmlformats.org/officeDocument/2006/relationships/hyperlink" Target="https://map.kakao.com/?q=%EC%A4%91%EA%B5%AC%20%EC%9D%84%EC%A7%80%EB%A1%9C3%EA%B0%80%20350-1" TargetMode="External"/><Relationship Id="rId163" Type="http://schemas.openxmlformats.org/officeDocument/2006/relationships/hyperlink" Target="https://map.kakao.com/?q=%EC%84%9C%EC%9A%B8%20%EB%8F%99%EB%8C%80%EB%AC%B8%EA%B5%AC%20%EC%9D%B4%EB%AC%B8%EB%8F%99%20257-17" TargetMode="External"/><Relationship Id="rId184" Type="http://schemas.openxmlformats.org/officeDocument/2006/relationships/hyperlink" Target="https://map.kakao.com/?q=%EC%84%9C%EC%9A%B8%20%EC%A4%91%EB%9E%91%EA%B5%AC%20%EB%A9%B4%EB%AA%A9%EB%8F%99%2050-47" TargetMode="External"/><Relationship Id="rId219" Type="http://schemas.openxmlformats.org/officeDocument/2006/relationships/hyperlink" Target="https://map.kakao.com/?q=%EC%9D%B8%EC%B2%9C%20%EC%97%B0%EC%88%98%EA%B5%AC%20%EC%97%B0%EC%88%98%EB%8F%99%20605-1" TargetMode="External"/><Relationship Id="rId230" Type="http://schemas.openxmlformats.org/officeDocument/2006/relationships/hyperlink" Target="https://map.kakao.com/?q=%EC%84%B1%EB%8F%99%EA%B5%AC%20%EC%84%B1%EC%88%98%EB%8F%992%EA%B0%80%20314-13" TargetMode="External"/><Relationship Id="rId251" Type="http://schemas.openxmlformats.org/officeDocument/2006/relationships/hyperlink" Target="https://map.naver.com/v5/search/%EA%B2%BD%EA%B8%B0%20%ED%95%98%EB%82%A8%EC%8B%9C%20%EB%A7%9D%EC%9B%94%EB%8F%99%201134-2" TargetMode="External"/><Relationship Id="rId25" Type="http://schemas.openxmlformats.org/officeDocument/2006/relationships/hyperlink" Target="https://map.naver.com/p/search/&#49436;&#50872;%20&#49436;&#52488;&#44396;%20&#50577;&#51116;&#46041;%20340-4" TargetMode="External"/><Relationship Id="rId46" Type="http://schemas.openxmlformats.org/officeDocument/2006/relationships/hyperlink" Target="https://map.naver.com/p/search/&#44221;&#44592;&#46020;%20&#49688;&#50896;&#49884;%20&#50689;&#53685;&#44396;%20&#50689;&#53685;&#46041;%201038-4%201&#52789;%20&#44277;&#49892;" TargetMode="External"/><Relationship Id="rId67" Type="http://schemas.openxmlformats.org/officeDocument/2006/relationships/hyperlink" Target="https://map.kakao.com/?q=%EC%9D%80%ED%8F%89%EA%B5%AC%20%EA%B0%88%ED%98%84%EB%8F%99%20400-4" TargetMode="External"/><Relationship Id="rId88" Type="http://schemas.openxmlformats.org/officeDocument/2006/relationships/hyperlink" Target="https://map.kakao.com/?q=%EC%84%9C%EC%9A%B8%ED%8A%B9%EB%B3%84%EC%8B%9C%20%EB%8F%99%EC%9E%91%EA%B5%AC%20%EB%8C%80%EB%B0%A9%EB%8F%99%20398-5" TargetMode="External"/><Relationship Id="rId111" Type="http://schemas.openxmlformats.org/officeDocument/2006/relationships/hyperlink" Target="https://map.kakao.com/?q=%EC%84%9C%EC%9A%B8%20%EC%86%A1%ED%8C%8C%EA%B5%AC%20%EA%B0%80%EB%9D%BD%EB%8F%99%20123" TargetMode="External"/><Relationship Id="rId132" Type="http://schemas.openxmlformats.org/officeDocument/2006/relationships/hyperlink" Target="https://map.kakao.com/?q=%EC%A2%85%EB%A1%9C%EA%B5%AC%20%EA%B4%80%EC%B2%A0%EB%8F%99%2010-2" TargetMode="External"/><Relationship Id="rId153" Type="http://schemas.openxmlformats.org/officeDocument/2006/relationships/hyperlink" Target="https://map.kakao.com/?q=%EB%8F%99%EC%95%88%EA%B5%AC%20%EA%B4%80%EC%96%91%EB%8F%99%201501" TargetMode="External"/><Relationship Id="rId174" Type="http://schemas.openxmlformats.org/officeDocument/2006/relationships/hyperlink" Target="https://map.kakao.com/?q=%EA%B2%BD%EA%B8%B0%20%EC%95%88%EC%82%B0%EC%8B%9C%20%EC%83%81%EB%A1%9D%EA%B5%AC%20%EA%B1%B4%EA%B1%B4%EB%8F%99%20536-40" TargetMode="External"/><Relationship Id="rId195" Type="http://schemas.openxmlformats.org/officeDocument/2006/relationships/hyperlink" Target="https://map.kakao.com/?q=%EB%8F%99%EC%9E%91%EA%B5%AC%20%EC%83%81%EB%8F%84%EB%8F%99%2032-40" TargetMode="External"/><Relationship Id="rId209" Type="http://schemas.openxmlformats.org/officeDocument/2006/relationships/hyperlink" Target="https://map.kakao.com/?q=%EC%B2%98%EC%9D%B8%EA%B5%AC%20%EC%97%AD%EB%B6%81%EB%8F%99%20748-2" TargetMode="External"/><Relationship Id="rId220" Type="http://schemas.openxmlformats.org/officeDocument/2006/relationships/hyperlink" Target="https://map.kakao.com/?q=%EA%B2%BD%EA%B8%B0%20%EC%9A%A9%EC%9D%B8%EC%8B%9C%20%EA%B8%B0%ED%9D%A5%EA%B5%AC%20%ED%95%9C%EB%B3%B4%EB%9D%BC2%EB%A1%9C%205-9" TargetMode="External"/><Relationship Id="rId241" Type="http://schemas.openxmlformats.org/officeDocument/2006/relationships/hyperlink" Target="https://map.kakao.com/?q=%EA%B2%BD%EA%B8%B0%20%EA%B5%B0%ED%8F%AC%EC%8B%9C%20%ED%8F%89%EC%B4%8C%EB%8F%99%20904-2" TargetMode="External"/><Relationship Id="rId15" Type="http://schemas.openxmlformats.org/officeDocument/2006/relationships/hyperlink" Target="https://map.naver.com/p/search/&#49436;&#50872;%20&#44053;&#46041;&#44396;%20&#44600;&#46041;%20373-28" TargetMode="External"/><Relationship Id="rId36" Type="http://schemas.openxmlformats.org/officeDocument/2006/relationships/hyperlink" Target="https://map.naver.com/p/search/&#49436;&#50872;&#53945;&#48324;&#49884;%20&#49457;&#46041;&#44396;%20&#50773;&#49901;&#47532;&#47196;%20410%20&#49468;&#53944;&#46972;&#49828;&#50500;&#54028;&#53944;%20(&#50628;&#51648;&#45348;%20&#46160;&#48264;&#51704;%20&#50724;&#47480;&#51901;)" TargetMode="External"/><Relationship Id="rId57" Type="http://schemas.openxmlformats.org/officeDocument/2006/relationships/hyperlink" Target="https://map.kakao.com/?q=%EC%9D%80%ED%8F%89%EA%B5%AC%20%EA%B0%88%ED%98%84%EB%8F%99%20452-25" TargetMode="External"/><Relationship Id="rId78" Type="http://schemas.openxmlformats.org/officeDocument/2006/relationships/hyperlink" Target="https://map.kakao.com/?q=&#44221;&#44592;&#46020;%20&#49884;&#55141;&#49884;%20&#45824;&#50556;&#46041;%20534-1" TargetMode="External"/><Relationship Id="rId99" Type="http://schemas.openxmlformats.org/officeDocument/2006/relationships/hyperlink" Target="https://map.kakao.com/link/search/%EC%84%9C%EC%9A%B8%ED%8A%B9%EB%B3%84%EC%8B%9C%20%EC%9D%80%ED%8F%89%EA%B5%AC%20%EC%9D%91%EC%95%94%EB%8F%99%2088-23" TargetMode="External"/><Relationship Id="rId101" Type="http://schemas.openxmlformats.org/officeDocument/2006/relationships/hyperlink" Target="https://map.kakao.com/link/search/%EC%84%9C%EC%9A%B8%ED%8A%B9%EB%B3%84%EC%8B%9C%20%EC%9D%80%ED%8F%89%EA%B5%AC%20%EC%9D%91%EC%95%94%EB%8F%99%20109-32" TargetMode="External"/><Relationship Id="rId122" Type="http://schemas.openxmlformats.org/officeDocument/2006/relationships/hyperlink" Target="https://map.kakao.com/?q=%EC%86%A1%ED%8C%8C%EA%B5%AC%20%EA%B0%80%EB%9D%BD%EB%8F%99%2079" TargetMode="External"/><Relationship Id="rId143" Type="http://schemas.openxmlformats.org/officeDocument/2006/relationships/hyperlink" Target="https://map.kakao.com/?q=%EC%A4%91%EA%B5%AC%20%EC%A0%80%EB%8F%992%EA%B0%80%2076-7" TargetMode="External"/><Relationship Id="rId164" Type="http://schemas.openxmlformats.org/officeDocument/2006/relationships/hyperlink" Target="https://map.kakao.com/?q=%EC%84%9C%EC%9A%B8%20%EB%8F%99%EB%8C%80%EB%AC%B8%EA%B5%AC%20%EC%9D%B4%EB%AC%B8%EB%8F%99%20263-10" TargetMode="External"/><Relationship Id="rId185" Type="http://schemas.openxmlformats.org/officeDocument/2006/relationships/hyperlink" Target="https://map.kakao.com/?q=%EC%84%9C%EC%9A%B8%20%EC%A4%91%EB%9E%91%EA%B5%AC%20%EB%AC%B5%EB%8F%99%20176-14" TargetMode="External"/><Relationship Id="rId9" Type="http://schemas.openxmlformats.org/officeDocument/2006/relationships/hyperlink" Target="https://map.naver.com/p/search/&#49436;&#50872;%20&#49457;&#46041;&#44396;%20&#50773;&#49901;&#47532;&#47196;%20410%20&#49468;&#53944;&#46972;&#49828;&#50500;&#54028;&#53944;" TargetMode="External"/><Relationship Id="rId210" Type="http://schemas.openxmlformats.org/officeDocument/2006/relationships/hyperlink" Target="https://map.kakao.com/?q=%EC%9D%B8%EC%B2%9C%20%EC%97%B0%EC%88%98%EA%B5%AC%20%EC%97%B0%EC%88%98%EB%8F%99%20596-6" TargetMode="External"/><Relationship Id="rId26" Type="http://schemas.openxmlformats.org/officeDocument/2006/relationships/hyperlink" Target="https://map.naver.com/p/search/&#49436;&#50872;%20&#49569;&#54028;&#44396;%20&#51104;&#49892;&#46041;%20183-7" TargetMode="External"/><Relationship Id="rId231" Type="http://schemas.openxmlformats.org/officeDocument/2006/relationships/hyperlink" Target="https://map.kakao.com/?q=%EC%84%B1%EB%8F%99%EA%B5%AC%20%EC%84%B1%EC%88%98%EB%8F%991%EA%B0%80%20656-98" TargetMode="External"/><Relationship Id="rId252" Type="http://schemas.openxmlformats.org/officeDocument/2006/relationships/hyperlink" Target="https://map.naver.com/v5/search/%EA%B2%BD%EA%B8%B0%20%ED%95%98%EB%82%A8%EC%8B%9C%20%EB%A7%9D%EC%9B%94%EB%8F%99%201119-1" TargetMode="External"/><Relationship Id="rId47" Type="http://schemas.openxmlformats.org/officeDocument/2006/relationships/hyperlink" Target="https://map.naver.com/p/search/&#44221;&#44592;&#46020;%20&#49457;&#45224;&#49884;%20&#48516;&#45817;&#44396;%20&#50556;&#53457;&#46041;%20352-4%201&#52789;%20&#44397;&#48165;&#51109;&#51064;&#50556;&#53457;&#51216;" TargetMode="External"/><Relationship Id="rId68" Type="http://schemas.openxmlformats.org/officeDocument/2006/relationships/hyperlink" Target="https://map.kakao.com/?q=%EC%9D%80%ED%8F%89%EA%B5%AC%20%EA%B0%88%ED%98%84%EB%8F%99%20456-24" TargetMode="External"/><Relationship Id="rId89" Type="http://schemas.openxmlformats.org/officeDocument/2006/relationships/hyperlink" Target="https://map.kakao.com/?q=%EA%B2%BD%EA%B8%B0%EB%8F%84%20%EC%95%88%EC%82%B0%EC%8B%9C%20%EC%83%81%EB%A1%9D%EA%B5%AC%20%EC%9D%B4%EB%8F%99%20706-7" TargetMode="External"/><Relationship Id="rId112" Type="http://schemas.openxmlformats.org/officeDocument/2006/relationships/hyperlink" Target="https://map.kakao.com/?q=%EB%82%A8%EB%8F%99%EA%B5%AC%20%EC%84%9C%EC%B0%BD%EB%8F%99%20708-4" TargetMode="External"/><Relationship Id="rId133" Type="http://schemas.openxmlformats.org/officeDocument/2006/relationships/hyperlink" Target="https://map.kakao.com/?q=%EC%A2%85%EB%A1%9C%EA%B5%AC%20%EA%B4%80%EC%B2%A0%EB%8F%99%2011-24" TargetMode="External"/><Relationship Id="rId154" Type="http://schemas.openxmlformats.org/officeDocument/2006/relationships/hyperlink" Target="https://map.kakao.com/?q=%EC%84%9C%EC%9A%B8%20%EB%8F%99%EB%8C%80%EB%AC%B8%EA%B5%AC%20%EC%B2%AD%EB%9F%89%EB%A6%AC%EB%8F%99%20235-4" TargetMode="External"/><Relationship Id="rId175" Type="http://schemas.openxmlformats.org/officeDocument/2006/relationships/hyperlink" Target="https://map.kakao.com/?q=%EA%B2%BD%EA%B8%B0%20%EC%95%88%EC%82%B0%EC%8B%9C%20%EC%83%81%EB%A1%9D%EA%B5%AC%20%EA%B1%B4%EA%B1%B4%EB%8F%99%20530-2" TargetMode="External"/><Relationship Id="rId196" Type="http://schemas.openxmlformats.org/officeDocument/2006/relationships/hyperlink" Target="https://map.kakao.com/?q=%EB%8F%99%EC%9E%91%EA%B5%AC%20%EC%83%81%EB%8F%84%EB%8F%99%20159-26" TargetMode="External"/><Relationship Id="rId200" Type="http://schemas.openxmlformats.org/officeDocument/2006/relationships/hyperlink" Target="https://map.kakao.com/?q=%EC%9A%A9%EC%9D%B8%EC%8B%9C%20%EC%B2%98%EC%9D%B8%EA%B5%AC%20%EC%97%AD%EB%B6%81%EB%8F%99%20570-2" TargetMode="External"/><Relationship Id="rId16" Type="http://schemas.openxmlformats.org/officeDocument/2006/relationships/hyperlink" Target="https://map.naver.com/p/search/&#49436;&#50872;%20&#44053;&#46041;&#44396;%20&#52380;&#54840;&#46041;%20322-32" TargetMode="External"/><Relationship Id="rId221" Type="http://schemas.openxmlformats.org/officeDocument/2006/relationships/hyperlink" Target="https://map.kakao.com/?q=%EA%B2%BD%EA%B8%B0%20%EC%9A%A9%EC%9D%B8%EC%8B%9C%20%EA%B8%B0%ED%9D%A5%EA%B5%AC%20%EB%B3%B4%EB%9D%BC%EB%8F%99%20587-2" TargetMode="External"/><Relationship Id="rId242" Type="http://schemas.openxmlformats.org/officeDocument/2006/relationships/hyperlink" Target="https://map.naver.com/v5/search/%EC%95%88%EC%96%91%EC%8B%9C%20%EB%8F%99%EC%95%88%EA%B5%AC%20%EB%B9%84%EC%82%B0%EB%8F%99%201059" TargetMode="External"/><Relationship Id="rId37" Type="http://schemas.openxmlformats.org/officeDocument/2006/relationships/hyperlink" Target="https://map.naver.com/p/search/&#51064;&#52380;&#44305;&#50669;&#49884;%20&#48512;&#54217;&#44396;%20&#52397;&#52380;&#46041;%20190-3%20&#44305;&#54868;&#47928;&#49711;&#48520;&#44040;&#48708;" TargetMode="External"/><Relationship Id="rId58" Type="http://schemas.openxmlformats.org/officeDocument/2006/relationships/hyperlink" Target="https://map.kakao.com/?q=%EC%9D%80%ED%8F%89%EA%B5%AC%20%EA%B0%88%ED%98%84%EB%8F%99%20453-8" TargetMode="External"/><Relationship Id="rId79" Type="http://schemas.openxmlformats.org/officeDocument/2006/relationships/hyperlink" Target="https://map.kakao.com/?q=&#44221;&#44592;&#46020;%20&#49884;&#55141;&#49884;%20&#45824;&#50556;&#46041;%20534-1" TargetMode="External"/><Relationship Id="rId102" Type="http://schemas.openxmlformats.org/officeDocument/2006/relationships/hyperlink" Target="https://map.kakao.com/link/search/%EC%84%9C%EC%9A%B8%ED%8A%B9%EB%B3%84%EC%8B%9C%20%EC%9D%80%ED%8F%89%EA%B5%AC%20%EC%97%AD%EC%B4%8C%EB%8F%99%2043-4" TargetMode="External"/><Relationship Id="rId123" Type="http://schemas.openxmlformats.org/officeDocument/2006/relationships/hyperlink" Target="https://map.kakao.com/?q=%EC%86%A1%ED%8C%8C%EA%B5%AC%20%EA%B0%80%EB%9D%BD%EB%8F%99%2081-6" TargetMode="External"/><Relationship Id="rId144" Type="http://schemas.openxmlformats.org/officeDocument/2006/relationships/hyperlink" Target="https://map.kakao.com/?q=%EC%A4%91%EA%B5%AC%20%EC%B4%88%EB%8F%99%2019-9" TargetMode="External"/><Relationship Id="rId90" Type="http://schemas.openxmlformats.org/officeDocument/2006/relationships/hyperlink" Target="https://map.kakao.com/?q=&#46020;&#48393;&#44396;%20&#49933;&#47928;&#46041;%20423-2" TargetMode="External"/><Relationship Id="rId165" Type="http://schemas.openxmlformats.org/officeDocument/2006/relationships/hyperlink" Target="https://map.kakao.com/?q=%EC%84%9C%EC%9A%B8%20%EB%8F%99%EB%8C%80%EB%AC%B8%EA%B5%AC%20%EC%9D%B4%EB%AC%B8%EB%8F%99%20257-42" TargetMode="External"/><Relationship Id="rId186" Type="http://schemas.openxmlformats.org/officeDocument/2006/relationships/hyperlink" Target="https://map.kakao.com/?q=%EC%84%9C%EC%9A%B8%20%EC%A4%91%EB%9E%91%EA%B5%AC%20%EB%AC%B5%EB%8F%99%20171-4" TargetMode="External"/><Relationship Id="rId211" Type="http://schemas.openxmlformats.org/officeDocument/2006/relationships/hyperlink" Target="https://map.kakao.com/?q=%EB%B6%80%EC%B2%9C%EC%8B%9C%20%EC%9B%90%EB%AF%B8%EA%B5%AC%20%EC%97%AD%EA%B3%A1%EB%8F%99%2078-7" TargetMode="External"/><Relationship Id="rId232" Type="http://schemas.openxmlformats.org/officeDocument/2006/relationships/hyperlink" Target="https://map.kakao.com/?q=%EC%B2%98%EC%9D%B8%EA%B5%AC%20%EC%97%AD%EB%B6%81%EB%8F%99%20752" TargetMode="External"/><Relationship Id="rId253" Type="http://schemas.openxmlformats.org/officeDocument/2006/relationships/hyperlink" Target="https://map.naver.com/v5/search/%EA%B2%BD%EA%B8%B0%20%EC%8B%9C%ED%9D%A5%EC%8B%9C%20%EC%9E%A5%ED%98%84%EB%8F%99%20544-5" TargetMode="External"/><Relationship Id="rId27" Type="http://schemas.openxmlformats.org/officeDocument/2006/relationships/hyperlink" Target="https://map.naver.com/p/search/&#49436;&#50872;%20&#46041;&#51089;&#44396;%20&#49324;&#45817;&#46041;%20267-37" TargetMode="External"/><Relationship Id="rId48" Type="http://schemas.openxmlformats.org/officeDocument/2006/relationships/hyperlink" Target="https://map.naver.com/p/search/&#44221;&#44592;&#46020;%20&#51032;&#51221;&#48512;&#49884;%20&#51032;&#51221;&#48512;&#46041;%20171-18%201&#52789;%20&#44277;&#49892;" TargetMode="External"/><Relationship Id="rId69" Type="http://schemas.openxmlformats.org/officeDocument/2006/relationships/hyperlink" Target="https://map.kakao.com/?q=%EC%9D%80%ED%8F%89%EA%B5%AC%20%EC%97%AD%EC%B4%8C%EB%8F%99%2016-2" TargetMode="External"/><Relationship Id="rId113" Type="http://schemas.openxmlformats.org/officeDocument/2006/relationships/hyperlink" Target="https://map.kakao.com/?q=%EC%84%9C%EC%9A%B8%20%EC%86%A1%ED%8C%8C%EA%B5%AC%20%EA%B0%80%EB%9D%BD%EB%8F%99%2073-3" TargetMode="External"/><Relationship Id="rId134" Type="http://schemas.openxmlformats.org/officeDocument/2006/relationships/hyperlink" Target="https://map.kakao.com/?q=%EB%8F%99%EC%95%88%EA%B5%AC%20%EB%B9%84%EC%82%B0%EB%8F%99%201059" TargetMode="External"/><Relationship Id="rId80" Type="http://schemas.openxmlformats.org/officeDocument/2006/relationships/hyperlink" Target="https://map.kakao.com/?q=&#49436;&#50872;&#53945;&#48324;&#49884;%20&#47560;&#54252;&#44396;%20&#46020;&#54868;&#46041;%20165-1" TargetMode="External"/><Relationship Id="rId155" Type="http://schemas.openxmlformats.org/officeDocument/2006/relationships/hyperlink" Target="https://map.kakao.com/?q=%EC%9D%B8%EC%B2%9C%20%EB%82%A8%EB%8F%99%EA%B5%AC%20%EB%A7%8C%EC%88%98%EB%8F%99%20884-9" TargetMode="External"/><Relationship Id="rId176" Type="http://schemas.openxmlformats.org/officeDocument/2006/relationships/hyperlink" Target="https://map.kakao.com/?q=%EA%B2%BD%EA%B8%B0%20%EC%95%88%EC%96%91%EC%8B%9C%20%EB%8F%99%EC%95%88%EA%B5%AC%20%EA%B4%80%EC%96%91%EB%8F%99%201725-1" TargetMode="External"/><Relationship Id="rId197" Type="http://schemas.openxmlformats.org/officeDocument/2006/relationships/hyperlink" Target="https://map.kakao.com/?q=%EA%B4%91%EC%A7%84%EA%B5%AC%20%EC%9E%90%EC%96%91%EB%8F%99%20779-6" TargetMode="External"/><Relationship Id="rId201" Type="http://schemas.openxmlformats.org/officeDocument/2006/relationships/hyperlink" Target="https://map.kakao.com/?q=%EB%B6%80%EC%B2%9C%EC%8B%9C%20%EC%86%8C%EC%82%AC%EA%B5%AC%20%EA%B4%B4%EC%95%88%EB%8F%99%20111-41" TargetMode="External"/><Relationship Id="rId222" Type="http://schemas.openxmlformats.org/officeDocument/2006/relationships/hyperlink" Target="https://map.kakao.com/?q=%EA%B2%BD%EA%B8%B0%20%EC%9A%A9%EC%9D%B8%EC%8B%9C%20%EC%B2%98%EC%9D%B8%EA%B5%AC%20%EC%97%AD%EB%B6%81%EB%8F%99%20723-1" TargetMode="External"/><Relationship Id="rId243" Type="http://schemas.openxmlformats.org/officeDocument/2006/relationships/hyperlink" Target="https://map.naver.com/v5/search/%EC%9A%A9%EC%9D%B8%EC%8B%9C%20%EC%B2%98%EC%9D%B8%EA%B5%AC%20%EA%B9%80%EB%9F%89%EC%9E%A5%EB%8F%99%20345-3" TargetMode="External"/><Relationship Id="rId17" Type="http://schemas.openxmlformats.org/officeDocument/2006/relationships/hyperlink" Target="https://map.naver.com/p/search/&#49436;&#50872;%20&#44053;&#46041;&#44396;%20&#44600;&#46041;%20325-4" TargetMode="External"/><Relationship Id="rId38" Type="http://schemas.openxmlformats.org/officeDocument/2006/relationships/hyperlink" Target="https://map.naver.com/p/search/&#44221;&#44592;&#46020;%20&#51032;&#51221;&#48512;&#49884;%20&#48124;&#46973;&#46041;%20842%201&#46041;%20&#47560;&#51109;&#46041;&#44256;&#44592;&#51665;" TargetMode="External"/><Relationship Id="rId59" Type="http://schemas.openxmlformats.org/officeDocument/2006/relationships/hyperlink" Target="https://map.kakao.com/?q=%EC%9D%80%ED%8F%89%EA%B5%AC%20%EA%B0%88%ED%98%84%EB%8F%99%20453-14" TargetMode="External"/><Relationship Id="rId103" Type="http://schemas.openxmlformats.org/officeDocument/2006/relationships/hyperlink" Target="https://map.kakao.com/link/search/%EC%84%9C%EC%9A%B8%ED%8A%B9%EB%B3%84%EC%8B%9C%20%EC%9D%80%ED%8F%89%EA%B5%AC%20%EC%8B%A0%EC%82%AC%EB%8F%99%2016-21" TargetMode="External"/><Relationship Id="rId124" Type="http://schemas.openxmlformats.org/officeDocument/2006/relationships/hyperlink" Target="https://map.kakao.com/?q=%EA%B0%95%EC%84%9C%EA%B5%AC%20%EB%A7%88%EA%B3%A1%EB%8F%99%20757-2" TargetMode="External"/><Relationship Id="rId70" Type="http://schemas.openxmlformats.org/officeDocument/2006/relationships/hyperlink" Target="https://map.kakao.com/?q=%EC%9D%80%ED%8F%89%EA%B5%AC%20%EB%85%B9%EB%B2%88%EB%8F%99%20155-13" TargetMode="External"/><Relationship Id="rId91" Type="http://schemas.openxmlformats.org/officeDocument/2006/relationships/hyperlink" Target="https://map.kakao.com/?q=&#44053;&#48513;&#44396;%20&#48120;&#50500;&#46041;%2090-43" TargetMode="External"/><Relationship Id="rId145" Type="http://schemas.openxmlformats.org/officeDocument/2006/relationships/hyperlink" Target="https://map.kakao.com/?q=%EC%A4%91%EA%B5%AC%20%EC%9D%84%EC%A7%80%EB%A1%9C3%EA%B0%80%20296-25" TargetMode="External"/><Relationship Id="rId166" Type="http://schemas.openxmlformats.org/officeDocument/2006/relationships/hyperlink" Target="https://map.kakao.com/?q=%EC%84%9C%EC%9A%B8%20%EB%8F%99%EB%8C%80%EB%AC%B8%EA%B5%AC%20%EC%9D%B4%EB%AC%B8%EB%8F%99%20257-42" TargetMode="External"/><Relationship Id="rId187" Type="http://schemas.openxmlformats.org/officeDocument/2006/relationships/hyperlink" Target="https://map.kakao.com/?q=%EC%84%9C%EC%9A%B8%20%EC%84%9C%EC%B4%88%EA%B5%AC%20%EC%84%9C%EC%B4%88%EB%8F%99%201443-33" TargetMode="External"/><Relationship Id="rId1" Type="http://schemas.openxmlformats.org/officeDocument/2006/relationships/hyperlink" Target="https://map.naver.com/p/search/&#49436;&#50872;%20&#44053;&#46041;&#44396;%20&#44600;&#46041;%20413-21" TargetMode="External"/><Relationship Id="rId212" Type="http://schemas.openxmlformats.org/officeDocument/2006/relationships/hyperlink" Target="https://map.kakao.com/?q=%EA%B2%BD%EA%B8%B0%EB%8F%84%20%EC%9A%A9%EC%9D%B8%EC%8B%9C%20%EA%B8%B0%ED%9D%A5%EA%B5%AC%20%EB%B3%B4%EB%9D%BC%EB%8F%99%20576" TargetMode="External"/><Relationship Id="rId233" Type="http://schemas.openxmlformats.org/officeDocument/2006/relationships/hyperlink" Target="https://map.kakao.com/?q=%EC%84%9C%EC%B4%88%EA%B5%AC%20%EC%84%9C%EC%B4%88%EB%8F%99%201659-18" TargetMode="External"/><Relationship Id="rId254" Type="http://schemas.openxmlformats.org/officeDocument/2006/relationships/hyperlink" Target="https://map.naver.com/v5/search/%EA%B2%BD%EA%B8%B0%20%EC%8B%9C%ED%9D%A5%EC%8B%9C%20%EC%9E%A5%EA%B3%A1%EB%8F%99%20811-7" TargetMode="External"/><Relationship Id="rId28" Type="http://schemas.openxmlformats.org/officeDocument/2006/relationships/hyperlink" Target="https://map.naver.com/p/search/&#49436;&#50872;%20&#44288;&#50501;&#44396;%20&#48393;&#52380;&#46041;%20931-2" TargetMode="External"/><Relationship Id="rId49" Type="http://schemas.openxmlformats.org/officeDocument/2006/relationships/hyperlink" Target="https://map.naver.com/p/search/&#44221;&#44592;&#46020;%20&#49688;&#50896;&#49884;%20&#54036;&#45804;&#44396;%20&#54036;&#45804;&#47196;3&#44032;%2097-1%201&#52789;%20&#44277;&#49892;" TargetMode="External"/><Relationship Id="rId114" Type="http://schemas.openxmlformats.org/officeDocument/2006/relationships/hyperlink" Target="https://map.kakao.com/?q=%EC%83%81%EB%A1%9D%EA%B5%AC%20%EC%82%AC%EB%8F%99%201423" TargetMode="External"/><Relationship Id="rId60" Type="http://schemas.openxmlformats.org/officeDocument/2006/relationships/hyperlink" Target="https://map.kakao.com/?q=%EC%9D%80%ED%8F%89%EA%B5%AC%20%EA%B0%88%ED%98%84%EB%8F%99%20453-24" TargetMode="External"/><Relationship Id="rId81" Type="http://schemas.openxmlformats.org/officeDocument/2006/relationships/hyperlink" Target="https://map.kakao.com/?q=&#49436;&#50872;&#53945;&#48324;&#49884;%20&#47560;&#54252;&#44396;%20&#44277;&#45909;&#46041;%20475" TargetMode="External"/><Relationship Id="rId135" Type="http://schemas.openxmlformats.org/officeDocument/2006/relationships/hyperlink" Target="https://map.kakao.com/?q=%EC%A4%91%EA%B5%AC%20%EC%9D%84%EC%A7%80%EB%A1%9C3%EA%B0%80%20302-15" TargetMode="External"/><Relationship Id="rId156" Type="http://schemas.openxmlformats.org/officeDocument/2006/relationships/hyperlink" Target="https://map.kakao.com/?q=%EC%84%9C%EC%9A%B8%20%EB%8F%99%EB%8C%80%EB%AC%B8%EA%B5%AC%20%EC%9D%B4%EB%AC%B8%EB%8F%99%20255-256" TargetMode="External"/><Relationship Id="rId177" Type="http://schemas.openxmlformats.org/officeDocument/2006/relationships/hyperlink" Target="https://map.kakao.com/?q=%EC%84%9C%EC%9A%B8%20%EA%B4%80%EC%95%85%EA%B5%AC%20%EB%82%A8%ED%98%84%EB%8F%99%201060-2" TargetMode="External"/><Relationship Id="rId198" Type="http://schemas.openxmlformats.org/officeDocument/2006/relationships/hyperlink" Target="https://map.kakao.com/?q=%EC%84%9C%EB%8C%80%EB%AC%B8%EA%B5%AC%20%EB%82%A8%EA%B0%80%EC%A2%8C%EB%8F%99%20293-85" TargetMode="External"/><Relationship Id="rId202" Type="http://schemas.openxmlformats.org/officeDocument/2006/relationships/hyperlink" Target="https://map.kakao.com/?q=%EC%9A%A9%EC%9D%B8%EC%8B%9C%20%EA%B8%B0%ED%9D%A5%EA%B5%AC%20%EB%B3%B4%EB%9D%BC%EB%8F%99%20578-4" TargetMode="External"/><Relationship Id="rId223" Type="http://schemas.openxmlformats.org/officeDocument/2006/relationships/hyperlink" Target="https://map.kakao.com/?q=%EA%B2%BD%EA%B8%B0%20%EC%9A%A9%EC%9D%B8%EC%8B%9C%20%EC%B2%98%EC%9D%B8%EA%B5%AC%20%EC%97%AD%EB%B6%81%EB%8F%99%20754" TargetMode="External"/><Relationship Id="rId244" Type="http://schemas.openxmlformats.org/officeDocument/2006/relationships/hyperlink" Target="https://map.naver.com/v5/search/%EC%9A%A9%EC%9D%B8%EC%8B%9C%20%EC%B2%98%EC%9D%B8%EA%B5%AC%20%EA%B9%80%EB%9F%89%EC%9E%A5%EB%8F%99%20140-24" TargetMode="External"/><Relationship Id="rId18" Type="http://schemas.openxmlformats.org/officeDocument/2006/relationships/hyperlink" Target="https://map.naver.com/p/search/&#49436;&#50872;%20&#44053;&#46041;&#44396;%20&#52380;&#54840;&#46041;%20548-1" TargetMode="External"/><Relationship Id="rId39" Type="http://schemas.openxmlformats.org/officeDocument/2006/relationships/hyperlink" Target="https://map.naver.com/p/search/&#44221;&#44592;&#46020;%20&#51032;&#51221;&#48512;&#49884;%20&#51032;&#51221;&#48512;&#46041;%2026-11%201&#52789;%20&#44608;&#50689;&#55148;&#44053;&#45224;&#50500;&#44396;&#52252;" TargetMode="External"/><Relationship Id="rId50" Type="http://schemas.openxmlformats.org/officeDocument/2006/relationships/hyperlink" Target="https://map.naver.com/p/search/&#44221;&#44592;&#46020;%20&#49688;&#50896;&#49884;%20&#54036;&#45804;&#44396;%20&#54036;&#45804;&#47196;2&#44032;%2016-1%201&#52789;%20&#44277;&#49892;%20(2&#48264;)" TargetMode="External"/><Relationship Id="rId104" Type="http://schemas.openxmlformats.org/officeDocument/2006/relationships/hyperlink" Target="https://map.kakao.com/link/search/%EC%84%9C%EC%9A%B8%ED%8A%B9%EB%B3%84%EC%8B%9C%20%EC%9D%80%ED%8F%89%EA%B5%AC%20%EC%9D%91%EC%95%94%EB%8F%99%20577-30" TargetMode="External"/><Relationship Id="rId125" Type="http://schemas.openxmlformats.org/officeDocument/2006/relationships/hyperlink" Target="https://map.kakao.com/?q=%EA%B0%95%EC%84%9C%EA%B5%AC%20%EB%A7%88%EA%B3%A1%EB%8F%99%20772-8" TargetMode="External"/><Relationship Id="rId146" Type="http://schemas.openxmlformats.org/officeDocument/2006/relationships/hyperlink" Target="https://map.kakao.com/?q=%EC%A4%91%EA%B5%AC%20%EC%B4%88%EB%8F%99%2021-12" TargetMode="External"/><Relationship Id="rId167" Type="http://schemas.openxmlformats.org/officeDocument/2006/relationships/hyperlink" Target="https://map.kakao.com/?q=%EC%84%9C%EC%9A%B8%20%EB%8F%99%EB%8C%80%EB%AC%B8%EA%B5%AC%20%EC%B2%AD%EB%9F%89%EB%A6%AC%EB%8F%99%20444-14" TargetMode="External"/><Relationship Id="rId188" Type="http://schemas.openxmlformats.org/officeDocument/2006/relationships/hyperlink" Target="https://map.kakao.com/?q=%EC%84%9C%EC%9A%B8%20%EC%84%9C%EC%B4%88%EA%B5%AC%20%EC%84%9C%EC%B4%88%EB%8F%99%201443-11" TargetMode="External"/><Relationship Id="rId71" Type="http://schemas.openxmlformats.org/officeDocument/2006/relationships/hyperlink" Target="https://map.kakao.com/?q=%EC%84%9C%EC%9A%B8%ED%8A%B9%EB%B3%84%EC%8B%9C%20%EC%9D%80%ED%8F%89%EA%B5%AC%20%EC%9D%91%EC%95%94%EB%8F%99%20577-30" TargetMode="External"/><Relationship Id="rId92" Type="http://schemas.openxmlformats.org/officeDocument/2006/relationships/hyperlink" Target="https://map.kakao.com/?q=&#52649;&#48513;%20&#52397;&#51452;&#49884;%20&#49345;&#45817;&#44396;%20&#44552;&#52380;&#46041;%20276" TargetMode="External"/><Relationship Id="rId213" Type="http://schemas.openxmlformats.org/officeDocument/2006/relationships/hyperlink" Target="https://map.kakao.com/?q=%EC%9D%B8%EC%B2%9C%20%EC%97%B0%EC%88%98%EA%B5%AC%20%EC%97%B0%EC%88%98%EB%8F%99%20605-3" TargetMode="External"/><Relationship Id="rId234" Type="http://schemas.openxmlformats.org/officeDocument/2006/relationships/hyperlink" Target="https://map.kakao.com/?q=%EB%8F%99%EC%95%88%EA%B5%AC%20%EA%B4%80%EC%96%91%EB%8F%99%201506-22" TargetMode="External"/><Relationship Id="rId2" Type="http://schemas.openxmlformats.org/officeDocument/2006/relationships/hyperlink" Target="https://map.naver.com/p/search/&#49436;&#50872;%20&#44053;&#46041;&#44396;%20&#44600;&#46041;%20413-21" TargetMode="External"/><Relationship Id="rId29" Type="http://schemas.openxmlformats.org/officeDocument/2006/relationships/hyperlink" Target="https://map.naver.com/p/search/&#49436;&#50872;%20&#49436;&#52488;&#44396;%20&#49436;&#52488;&#46041;%201594-3" TargetMode="External"/><Relationship Id="rId255" Type="http://schemas.openxmlformats.org/officeDocument/2006/relationships/hyperlink" Target="https://map.naver.com/v5/search/%EC%84%9C%EC%9A%B8%20%EC%86%A1%ED%8C%8C%EA%B5%AC%20%EB%AC%B8%EC%A0%95%EB%8F%99%20644-2" TargetMode="External"/><Relationship Id="rId40" Type="http://schemas.openxmlformats.org/officeDocument/2006/relationships/hyperlink" Target="https://map.naver.com/p/search/&#44221;&#44592;&#46020;%20&#51032;&#51221;&#48512;&#49884;%20&#51032;&#51221;&#48512;&#46041;%20193-4%201&#52789;%20&#50672;&#51109;&#51204;" TargetMode="External"/><Relationship Id="rId115" Type="http://schemas.openxmlformats.org/officeDocument/2006/relationships/hyperlink" Target="https://map.kakao.com/?q=%EC%83%81%EB%A1%9D%EA%B5%AC%20%EC%82%AC%EB%8F%99%201423-3" TargetMode="External"/><Relationship Id="rId136" Type="http://schemas.openxmlformats.org/officeDocument/2006/relationships/hyperlink" Target="https://map.kakao.com/?q=%EC%A4%91%EA%B5%AC%20%EC%9D%84%EC%A7%80%EB%A1%9C3%EA%B0%80%20334-20" TargetMode="External"/><Relationship Id="rId157" Type="http://schemas.openxmlformats.org/officeDocument/2006/relationships/hyperlink" Target="https://map.kakao.com/?q=%EC%84%9C%EC%9A%B8%20%EB%8F%99%EB%8C%80%EB%AC%B8%EA%B5%AC%20%EC%9D%B4%EB%AC%B8%EB%8F%99%20255-256" TargetMode="External"/><Relationship Id="rId178" Type="http://schemas.openxmlformats.org/officeDocument/2006/relationships/hyperlink" Target="https://map.kakao.com/?q=%EC%84%9C%EC%9A%B8%20%EA%B4%80%EC%95%85%EA%B5%AC%20%EB%B4%89%EC%B2%9C%EB%8F%99%201688-124" TargetMode="External"/><Relationship Id="rId61" Type="http://schemas.openxmlformats.org/officeDocument/2006/relationships/hyperlink" Target="https://map.kakao.com/?q=%EC%9D%80%ED%8F%89%EA%B5%AC%20%EA%B0%88%ED%98%84%EB%8F%99%20453-25" TargetMode="External"/><Relationship Id="rId82" Type="http://schemas.openxmlformats.org/officeDocument/2006/relationships/hyperlink" Target="https://map.kakao.com/?q=&#49436;&#50872;&#53945;&#48324;&#49884;%20&#49436;&#45824;&#47928;&#44396;%20&#50672;&#55148;&#46041;%20193-2" TargetMode="External"/><Relationship Id="rId199" Type="http://schemas.openxmlformats.org/officeDocument/2006/relationships/hyperlink" Target="https://map.kakao.com/?q=%EC%B2%98%EC%9D%B8%EA%B5%AC%20%EC%97%AD%EB%B6%81%EB%8F%99%20504-13" TargetMode="External"/><Relationship Id="rId203" Type="http://schemas.openxmlformats.org/officeDocument/2006/relationships/hyperlink" Target="https://map.kakao.com/?q=%EB%B6%80%EC%B2%9C%EC%8B%9C%20%EC%86%8C%EC%82%AC%EA%B5%AC%20%EB%B2%94%EB%B0%95%EB%8F%99%20208-1" TargetMode="External"/><Relationship Id="rId19" Type="http://schemas.openxmlformats.org/officeDocument/2006/relationships/hyperlink" Target="https://map.naver.com/p/search/&#49436;&#50872;%20&#44053;&#46041;&#44396;%20&#52380;&#54840;&#46041;%2051-7" TargetMode="External"/><Relationship Id="rId224" Type="http://schemas.openxmlformats.org/officeDocument/2006/relationships/hyperlink" Target="https://map.kakao.com/?q=%EA%B2%BD%EA%B8%B0%20%EC%9A%A9%EC%9D%B8%EC%8B%9C%20%EC%B2%98%EC%9D%B8%EA%B5%AC%20%EC%97%AD%EB%B6%81%EB%8F%99%20750-1" TargetMode="External"/><Relationship Id="rId245" Type="http://schemas.openxmlformats.org/officeDocument/2006/relationships/hyperlink" Target="https://map.naver.com/v5/search/%EC%9A%A9%EC%9D%B8%EC%8B%9C%20%EC%B2%98%EC%9D%B8%EA%B5%AC%20%EB%82%A8%EB%8F%99%2027-2" TargetMode="External"/><Relationship Id="rId30" Type="http://schemas.openxmlformats.org/officeDocument/2006/relationships/hyperlink" Target="https://map.naver.com/p/search/&#49436;&#50872;&#53945;&#48324;&#49884;%20&#51008;&#54217;&#44396;%20&#51025;&#50516;&#46041;%20577-30" TargetMode="External"/><Relationship Id="rId105" Type="http://schemas.openxmlformats.org/officeDocument/2006/relationships/hyperlink" Target="https://map.kakao.com/link/search/%EC%84%9C%EC%9A%B8%ED%8A%B9%EB%B3%84%EC%8B%9C%20%EC%9D%80%ED%8F%89%EA%B5%AC%20%EC%9D%91%EC%95%94%EB%8F%99%20597-9" TargetMode="External"/><Relationship Id="rId126" Type="http://schemas.openxmlformats.org/officeDocument/2006/relationships/hyperlink" Target="https://map.kakao.com/?q=%EA%B0%95%EC%84%9C%EA%B5%AC%20%EB%A7%88%EA%B3%A1%EB%8F%99%20772-8" TargetMode="External"/><Relationship Id="rId147" Type="http://schemas.openxmlformats.org/officeDocument/2006/relationships/hyperlink" Target="https://map.kakao.com/?q=%EC%A4%91%EA%B5%AC%20%EC%9D%84%EC%A7%80%EB%A1%9C3%EA%B0%80%20342-1" TargetMode="External"/><Relationship Id="rId168" Type="http://schemas.openxmlformats.org/officeDocument/2006/relationships/hyperlink" Target="https://map.kakao.com/?q=%EC%84%9C%EC%9A%B8%20%EB%8F%99%EB%8C%80%EB%AC%B8%EA%B5%AC%20%ED%9C%98%EA%B2%BD%EB%8F%99%20264-1" TargetMode="External"/><Relationship Id="rId51" Type="http://schemas.openxmlformats.org/officeDocument/2006/relationships/hyperlink" Target="https://map.naver.com/p/search/&#44221;&#44592;&#46020;%20&#49688;&#50896;&#49884;%20&#54036;&#45804;&#44396;%20&#54036;&#45804;&#47196;2&#44032;%2016-1%201&#52789;%20&#44277;&#49892;%20(1&#48264;)" TargetMode="External"/><Relationship Id="rId72" Type="http://schemas.openxmlformats.org/officeDocument/2006/relationships/hyperlink" Target="https://map.kakao.com/?q=%EC%84%9C%EC%9A%B8%20%EA%B4%91%EC%A7%84%EA%B5%AC%20%EA%B4%91%EC%9E%A5%EB%8F%99%20331-3" TargetMode="External"/><Relationship Id="rId93" Type="http://schemas.openxmlformats.org/officeDocument/2006/relationships/hyperlink" Target="https://map.kakao.com/?q=&#46020;&#48393;&#44396;%20&#48169;&#54617;&#46041;%20703-17" TargetMode="External"/><Relationship Id="rId189" Type="http://schemas.openxmlformats.org/officeDocument/2006/relationships/hyperlink" Target="https://map.kakao.com/?q=%EC%84%9C%EC%9A%B8%20%EA%B0%95%EB%82%A8%EA%B5%AC%20%EA%B0%9C%ED%8F%AC%EB%8F%99%201228-4" TargetMode="External"/><Relationship Id="rId3" Type="http://schemas.openxmlformats.org/officeDocument/2006/relationships/hyperlink" Target="https://map.naver.com/p/search/&#49436;&#50872;%20&#44053;&#46041;&#44396;%20&#49457;&#45236;&#46041;%20555-8" TargetMode="External"/><Relationship Id="rId214" Type="http://schemas.openxmlformats.org/officeDocument/2006/relationships/hyperlink" Target="https://map.kakao.com/?q=%EC%9D%B8%EC%B2%9C%20%EC%97%B0%EC%88%98%EA%B5%AC%20%EC%97%B0%EC%88%98%EB%8F%99%20605-2" TargetMode="External"/><Relationship Id="rId235" Type="http://schemas.openxmlformats.org/officeDocument/2006/relationships/hyperlink" Target="https://map.kakao.com/?q=%EB%8F%99%EC%95%88%EA%B5%AC%20%EA%B4%80%EC%96%91%EB%8F%99%201506-26" TargetMode="External"/><Relationship Id="rId256" Type="http://schemas.openxmlformats.org/officeDocument/2006/relationships/hyperlink" Target="https://map.kakao.com/?q=%EC%84%9C%EC%9A%B8%20%EA%B4%91%EC%A7%84%EA%B5%AC%20%EA%B4%91%EC%9E%A5%EB%8F%99%20331-3" TargetMode="External"/><Relationship Id="rId116" Type="http://schemas.openxmlformats.org/officeDocument/2006/relationships/hyperlink" Target="https://map.kakao.com/?q=%EC%A4%91%EA%B5%AC%20%ED%99%A9%ED%95%99%EB%8F%99%201101-1" TargetMode="External"/><Relationship Id="rId137" Type="http://schemas.openxmlformats.org/officeDocument/2006/relationships/hyperlink" Target="https://map.kakao.com/?q=%EB%8F%99%EC%95%88%EA%B5%AC%20%EB%B9%84%EC%82%B0%EB%8F%99%201059" TargetMode="External"/><Relationship Id="rId158" Type="http://schemas.openxmlformats.org/officeDocument/2006/relationships/hyperlink" Target="https://map.kakao.com/?q=%EC%84%9C%EC%9A%B8%20%EB%8F%99%EB%8C%80%EB%AC%B8%EA%B5%AC%20%EC%9D%B4%EB%AC%B8%EB%8F%99%20255-256" TargetMode="External"/><Relationship Id="rId20" Type="http://schemas.openxmlformats.org/officeDocument/2006/relationships/hyperlink" Target="https://map.naver.com/p/search/&#49436;&#50872;%20&#44053;&#46041;&#44396;%20&#52380;&#54840;&#46041;%20301-35" TargetMode="External"/><Relationship Id="rId41" Type="http://schemas.openxmlformats.org/officeDocument/2006/relationships/hyperlink" Target="https://map.naver.com/p/search/&#44221;&#44592;&#46020;%20&#49688;&#50896;&#49884;%20&#50689;&#53685;&#44396;%20&#47588;&#53444;&#46041;%20372-6%201&#52789;%20&#45824;&#48372;&#49552;&#52860;&#44397;&#49688;" TargetMode="External"/><Relationship Id="rId62" Type="http://schemas.openxmlformats.org/officeDocument/2006/relationships/hyperlink" Target="https://map.kakao.com/?q=%EC%86%A1%ED%8C%8C%EA%B5%AC%20%EB%A7%88%EC%B2%9C%EB%8F%99%20128-50" TargetMode="External"/><Relationship Id="rId83" Type="http://schemas.openxmlformats.org/officeDocument/2006/relationships/hyperlink" Target="https://map.kakao.com/?q=&#44221;&#44592;&#46020;%20&#48512;&#52380;&#49884;%20&#50724;&#51221;&#44396;%20&#45236;&#46041;%2059" TargetMode="External"/><Relationship Id="rId179" Type="http://schemas.openxmlformats.org/officeDocument/2006/relationships/hyperlink" Target="https://map.kakao.com/?q=%EC%84%9C%EC%9A%B8%20%EC%A4%91%EB%9E%91%EA%B5%AC%20%EB%A9%B4%EB%AA%A9%EB%8F%99%20496-15" TargetMode="External"/><Relationship Id="rId190" Type="http://schemas.openxmlformats.org/officeDocument/2006/relationships/hyperlink" Target="https://map.kakao.com/?q=%EC%84%9C%EC%9A%B8%20%EC%84%9C%EC%B4%88%EA%B5%AC%20%EC%84%9C%EC%B4%88%EB%8F%99%201342-4" TargetMode="External"/><Relationship Id="rId204" Type="http://schemas.openxmlformats.org/officeDocument/2006/relationships/hyperlink" Target="https://map.kakao.com/?q=%EC%9A%A9%EC%9D%B8%EC%8B%9C%20%EC%B2%98%EC%9D%B8%EA%B5%AC%20%EC%97%AD%EB%B6%81%EB%8F%99%20723-5" TargetMode="External"/><Relationship Id="rId225" Type="http://schemas.openxmlformats.org/officeDocument/2006/relationships/hyperlink" Target="https://map.kakao.com/?q=%EA%B2%BD%EA%B8%B0%20%EC%9A%A9%EC%9D%B8%EC%8B%9C%20%EC%B2%98%EC%9D%B8%EA%B5%AC%20%EC%97%AD%EB%B6%81%EB%8F%99%20763-7" TargetMode="External"/><Relationship Id="rId246" Type="http://schemas.openxmlformats.org/officeDocument/2006/relationships/hyperlink" Target="https://map.naver.com/v5/search/%EC%9A%A9%EC%9D%B8%EC%8B%9C%20%EC%B2%98%EC%9D%B8%EA%B5%AC%20%EA%B9%80%EB%9F%89%EC%9E%A5%EB%8F%99%20254-370" TargetMode="External"/><Relationship Id="rId106" Type="http://schemas.openxmlformats.org/officeDocument/2006/relationships/hyperlink" Target="https://map.kakao.com/link/search/%EC%84%9C%EC%9A%B8%ED%8A%B9%EB%B3%84%EC%8B%9C%20%EC%9D%80%ED%8F%89%EA%B5%AC%20%EC%9D%91%EC%95%94%EB%8F%99%20602-45" TargetMode="External"/><Relationship Id="rId127" Type="http://schemas.openxmlformats.org/officeDocument/2006/relationships/hyperlink" Target="https://map.kakao.com/?q=%EA%B0%95%EC%84%9C%EA%B5%AC%20%EB%A7%88%EA%B3%A1%EB%8F%99%20759-3" TargetMode="External"/><Relationship Id="rId10" Type="http://schemas.openxmlformats.org/officeDocument/2006/relationships/hyperlink" Target="https://map.naver.com/p/search/&#49436;&#50872;%20&#49457;&#46041;&#44396;%20&#50773;&#49901;&#47532;&#47196;%20410%20&#49468;&#53944;&#46972;&#49828;&#50500;&#54028;&#53944;" TargetMode="External"/><Relationship Id="rId31" Type="http://schemas.openxmlformats.org/officeDocument/2006/relationships/hyperlink" Target="https://map.naver.com/p/search/&#49436;&#50872;&#53945;&#48324;&#49884;%20&#49457;&#46041;&#44396;%20&#54616;&#50773;&#49901;&#47532;&#46041;%201070%20&#51021;&#52380;&#47532;382" TargetMode="External"/><Relationship Id="rId52" Type="http://schemas.openxmlformats.org/officeDocument/2006/relationships/hyperlink" Target="https://map.naver.com/p/search/&#49436;&#50872;&#53945;&#48324;&#49884;%20&#49457;&#46041;&#44396;%20&#50773;&#49901;&#47532;&#47196;%20410%20&#49468;&#53944;&#46972;&#49828;&#50500;&#54028;&#53944;%20(&#50628;&#51648;&#45348;%20&#51204;&#47732;%20&#46160;&#52856;)" TargetMode="External"/><Relationship Id="rId73" Type="http://schemas.openxmlformats.org/officeDocument/2006/relationships/hyperlink" Target="https://map.kakao.com/?q=%EC%84%9C%EC%9A%B8%20%EA%B4%91%EC%A7%84%EA%B5%AC%20%EA%B4%91%EC%9E%A5%EB%8F%99%20326-13" TargetMode="External"/><Relationship Id="rId94" Type="http://schemas.openxmlformats.org/officeDocument/2006/relationships/hyperlink" Target="https://map.kakao.com/?q=&#51032;&#51221;&#48512;&#49884;%20&#52380;&#48372;&#47196;64%20&#44536;&#47536;&#53440;&#50892;2&#52789;" TargetMode="External"/><Relationship Id="rId148" Type="http://schemas.openxmlformats.org/officeDocument/2006/relationships/hyperlink" Target="https://map.kakao.com/?q=%EA%B5%B0%ED%8F%AC%EC%8B%9C%20%EC%82%B0%EB%B3%B8%EB%8F%99%201123-3" TargetMode="External"/><Relationship Id="rId169" Type="http://schemas.openxmlformats.org/officeDocument/2006/relationships/hyperlink" Target="https://map.kakao.com/?q=%EC%84%9C%EC%9A%B8%20%EC%A4%91%EB%9E%91%EA%B5%AC%20%EB%A9%B4%EB%AA%A9%EB%8F%99%20496-17" TargetMode="External"/><Relationship Id="rId4" Type="http://schemas.openxmlformats.org/officeDocument/2006/relationships/hyperlink" Target="https://map.naver.com/p/search/&#49436;&#50872;%20&#44053;&#46041;&#44396;%20&#49457;&#45236;&#46041;%20557-8" TargetMode="External"/><Relationship Id="rId180" Type="http://schemas.openxmlformats.org/officeDocument/2006/relationships/hyperlink" Target="https://map.kakao.com/?q=%EC%84%9C%EC%9A%B8%20%EB%8F%99%EB%8C%80%EB%AC%B8%EA%B5%AC%20%EC%9D%B4%EB%AC%B8%EB%8F%99%20363-5" TargetMode="External"/><Relationship Id="rId215" Type="http://schemas.openxmlformats.org/officeDocument/2006/relationships/hyperlink" Target="https://map.kakao.com/?q=%EC%9D%B8%EC%B2%9C%20%EC%97%B0%EC%88%98%EA%B5%AC%20%EC%97%B0%EC%88%98%EB%8F%99%20604-13" TargetMode="External"/><Relationship Id="rId236" Type="http://schemas.openxmlformats.org/officeDocument/2006/relationships/hyperlink" Target="https://map.kakao.com/?q=%EC%88%98%EC%A0%95%EA%B5%AC%20%EC%8B%A0%ED%9D%A5%EB%8F%99%203436-11" TargetMode="External"/><Relationship Id="rId257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.naver.com/v5/search/%EC%84%9C%EC%B4%88%EA%B5%AC%20%EC%84%9C%EC%B4%88%EB%8F%99%201598-1" TargetMode="External"/><Relationship Id="rId21" Type="http://schemas.openxmlformats.org/officeDocument/2006/relationships/hyperlink" Target="https://map.naver.com/v5/search/%EA%B3%BC%EC%B2%9C%EC%8B%9C%20%EA%B0%88%ED%98%84%EB%8F%99%20319-1%20%EA%B3%BC%EC%B2%9C%EC%95%84%EC%9D%B4%ED%94%8C%EB%A0%89%EC%8A%A4" TargetMode="External"/><Relationship Id="rId324" Type="http://schemas.openxmlformats.org/officeDocument/2006/relationships/hyperlink" Target="https://map.naver.com/v5/search/%EA%B0%95%EB%82%A8%EA%B5%AC%20%EC%82%BC%EC%84%B1%EB%8F%99%20143-3" TargetMode="External"/><Relationship Id="rId531" Type="http://schemas.openxmlformats.org/officeDocument/2006/relationships/hyperlink" Target="https://map.naver.com/v5/search/%EC%9D%B8%EC%B2%9C%20%EA%B3%84%EC%96%91%EA%B5%AC%20%EA%B3%84%EC%82%B0%EB%8F%99%201081-4" TargetMode="External"/><Relationship Id="rId629" Type="http://schemas.openxmlformats.org/officeDocument/2006/relationships/printerSettings" Target="../printerSettings/printerSettings1.bin"/><Relationship Id="rId170" Type="http://schemas.openxmlformats.org/officeDocument/2006/relationships/hyperlink" Target="https://map.naver.com/v5/search/%EC%95%88%EC%96%91%EC%8B%9C%20%EB%A7%8C%EC%95%88%EA%B5%AC%20%EC%95%88%EC%96%91%EB%8F%99%20674-135" TargetMode="External"/><Relationship Id="rId268" Type="http://schemas.openxmlformats.org/officeDocument/2006/relationships/hyperlink" Target="https://map.naver.com/v5/search/%EC%9D%B8%EC%B2%9C%EA%B4%91%EC%97%AD%EC%8B%9C%20%EB%82%A8%EB%8F%99%EA%B5%AC%20%EA%B5%AC%EC%9B%94%EB%8F%99%201126-1" TargetMode="External"/><Relationship Id="rId475" Type="http://schemas.openxmlformats.org/officeDocument/2006/relationships/hyperlink" Target="https://map.naver.com/v5/search/%EC%9D%80%ED%8F%89%EA%B5%AC%20%EA%B0%88%ED%98%84%EB%8F%99%20400-4" TargetMode="External"/><Relationship Id="rId32" Type="http://schemas.openxmlformats.org/officeDocument/2006/relationships/hyperlink" Target="https://map.naver.com/v5/search/%EA%B5%AC%EB%A1%9C%EA%B5%AC%20%EA%B5%AC%EB%A1%9C%EB%8F%99%201124-57" TargetMode="External"/><Relationship Id="rId128" Type="http://schemas.openxmlformats.org/officeDocument/2006/relationships/hyperlink" Target="https://map.naver.com/v5/search/%EC%84%9C%EC%B4%88%EA%B5%AC%20%EC%84%9C%EC%B4%88%EB%8F%99%201510-2" TargetMode="External"/><Relationship Id="rId335" Type="http://schemas.openxmlformats.org/officeDocument/2006/relationships/hyperlink" Target="https://map.naver.com/v5/search/%EC%98%81%EB%93%B1%ED%8F%AC%EA%B5%AC%20%EC%96%91%ED%8F%89%EB%8F%994%EA%B0%80%20153-6" TargetMode="External"/><Relationship Id="rId542" Type="http://schemas.openxmlformats.org/officeDocument/2006/relationships/hyperlink" Target="https://map.naver.com/v5/search/%ED%99%94%EC%84%B1%EC%8B%9C%20%EB%8F%99%ED%83%84%EA%B5%AC%20%EC%98%81%EC%B2%9C%EB%8F%99%20804-6" TargetMode="External"/><Relationship Id="rId181" Type="http://schemas.openxmlformats.org/officeDocument/2006/relationships/hyperlink" Target="https://map.naver.com/v5/search/%EC%9D%B8%EC%B2%9C%EA%B4%91%EC%97%AD%EC%8B%9C%20%EB%AF%B8%EC%B6%94%ED%99%80%EA%B5%AC%20%EC%A3%BC%EC%95%88%EB%8F%99%20431-9" TargetMode="External"/><Relationship Id="rId402" Type="http://schemas.openxmlformats.org/officeDocument/2006/relationships/hyperlink" Target="https://map.naver.com/v5/search/%EC%A2%85%EB%A1%9C%EA%B5%AC%20%EC%88%98%EC%86%A1%EB%8F%99%20156" TargetMode="External"/><Relationship Id="rId279" Type="http://schemas.openxmlformats.org/officeDocument/2006/relationships/hyperlink" Target="https://map.naver.com/v5/search/%EC%86%A1%ED%8C%8C%EA%B5%AC%20%EC%9E%A5%EC%A7%80%EB%8F%99%20883" TargetMode="External"/><Relationship Id="rId486" Type="http://schemas.openxmlformats.org/officeDocument/2006/relationships/hyperlink" Target="https://map.naver.com/v5/search/%EC%9D%80%ED%8F%89%EA%B5%AC%20%EA%B0%88%ED%98%84%EB%8F%99%20394-30" TargetMode="External"/><Relationship Id="rId43" Type="http://schemas.openxmlformats.org/officeDocument/2006/relationships/hyperlink" Target="https://map.naver.com/v5/search/%EA%B0%95%EB%8F%99%EA%B5%AC%20%EC%B2%9C%ED%98%B8%EB%8F%99%20456" TargetMode="External"/><Relationship Id="rId139" Type="http://schemas.openxmlformats.org/officeDocument/2006/relationships/hyperlink" Target="https://map.naver.com/v5/search/%EA%B2%BD%EA%B8%B0%EB%8F%84%20%EC%8B%9C%ED%9D%A5%EC%8B%9C%20%EB%B0%B0%EA%B3%A7%EB%8F%99%20215" TargetMode="External"/><Relationship Id="rId346" Type="http://schemas.openxmlformats.org/officeDocument/2006/relationships/hyperlink" Target="https://map.naver.com/v5/search/%EA%B0%95%EB%82%A8%EA%B5%AC%20%EC%B2%AD%EB%8B%B4%EB%8F%99%2076-6" TargetMode="External"/><Relationship Id="rId553" Type="http://schemas.openxmlformats.org/officeDocument/2006/relationships/hyperlink" Target="https://map.naver.com/v5/search/%EC%84%9C%EB%8C%80%EB%AC%B8%EA%B5%AC%20%EC%97%B0%ED%9D%AC%EB%8F%99%2081-11" TargetMode="External"/><Relationship Id="rId192" Type="http://schemas.openxmlformats.org/officeDocument/2006/relationships/hyperlink" Target="https://map.naver.com/v5/search/%EC%9D%B8%EC%B2%9C%EA%B4%91%EC%97%AD%EC%8B%9C%20%EB%AF%B8%EC%B6%94%ED%99%80%EA%B5%AC%20%EC%A3%BC%EC%95%88%EB%8F%99%201542" TargetMode="External"/><Relationship Id="rId206" Type="http://schemas.openxmlformats.org/officeDocument/2006/relationships/hyperlink" Target="https://map.naver.com/v5/search/%EC%95%88%EC%82%B0%EC%8B%9C%20%EB%8B%A8%EC%9B%90%EA%B5%AC%20%EA%B3%A0%EC%9E%94%EB%8F%99%20775" TargetMode="External"/><Relationship Id="rId413" Type="http://schemas.openxmlformats.org/officeDocument/2006/relationships/hyperlink" Target="https://map.naver.com/v5/search/%EA%B0%95%EB%82%A8%EA%B5%AC%20%EC%8B%A0%EC%82%AC%EB%8F%99%20662-17" TargetMode="External"/><Relationship Id="rId497" Type="http://schemas.openxmlformats.org/officeDocument/2006/relationships/hyperlink" Target="https://map.naver.com/v5/search/%EC%9D%80%ED%8F%89%EA%B5%AC%20%EA%B0%88%ED%98%84%EB%8F%99%20402-26" TargetMode="External"/><Relationship Id="rId620" Type="http://schemas.openxmlformats.org/officeDocument/2006/relationships/hyperlink" Target="https://map.naver.com/v5/search/%EA%B0%95%EB%82%A8%EA%B5%AC%20%EB%8C%80%EC%B9%98%EB%8F%99%20990" TargetMode="External"/><Relationship Id="rId357" Type="http://schemas.openxmlformats.org/officeDocument/2006/relationships/hyperlink" Target="https://map.naver.com/v5/search/%EA%B5%AC%EB%A1%9C%EA%B5%AC%20%EA%B3%A0%EC%B2%99%EB%8F%99%2076-28" TargetMode="External"/><Relationship Id="rId54" Type="http://schemas.openxmlformats.org/officeDocument/2006/relationships/hyperlink" Target="https://map.naver.com/p/search/%EA%B0%95%EB%8F%99%EA%B5%AC%20%EC%84%B1%EB%82%B4%EB%8F%99%20413-7" TargetMode="External"/><Relationship Id="rId217" Type="http://schemas.openxmlformats.org/officeDocument/2006/relationships/hyperlink" Target="https://map.naver.com/v5/search/%EC%9A%A9%EC%9D%B8%EC%8B%9C%20%EC%88%98%EC%A7%80%EA%B5%AC%20%EC%83%81%ED%98%84%EB%8F%99%201132" TargetMode="External"/><Relationship Id="rId564" Type="http://schemas.openxmlformats.org/officeDocument/2006/relationships/hyperlink" Target="https://map.naver.com/v5/search/%EB%A7%88%ED%8F%AC%EA%B5%AC%20%EC%83%81%EC%95%94%EB%8F%99%20115-10" TargetMode="External"/><Relationship Id="rId424" Type="http://schemas.openxmlformats.org/officeDocument/2006/relationships/hyperlink" Target="https://map.naver.com/v5/search/%EC%A2%85%EB%A1%9C%EA%B5%AC%20%EB%82%B4%EC%88%98%EB%8F%99%204" TargetMode="External"/><Relationship Id="rId270" Type="http://schemas.openxmlformats.org/officeDocument/2006/relationships/hyperlink" Target="https://map.naver.com/v5/search/%EC%9D%B8%EC%B2%9C%EA%B4%91%EC%97%AD%EC%8B%9C%20%EC%84%9C%EA%B5%AC%20%EA%B0%80%EC%A0%95%EB%8F%99%20617-3" TargetMode="External"/><Relationship Id="rId65" Type="http://schemas.openxmlformats.org/officeDocument/2006/relationships/hyperlink" Target="https://map.naver.com/p/search/%EA%B0%95%EB%82%A8%EA%B5%AC%20%EB%8C%80%EC%B9%98%EB%8F%99%20936-25" TargetMode="External"/><Relationship Id="rId130" Type="http://schemas.openxmlformats.org/officeDocument/2006/relationships/hyperlink" Target="https://map.naver.com/v5/search/%EC%84%9C%EC%9A%B8%20%EA%B5%AC%EB%A1%9C%EA%B5%AC%20%EA%B0%9C%EB%B4%89%EB%8F%99%20403-71" TargetMode="External"/><Relationship Id="rId368" Type="http://schemas.openxmlformats.org/officeDocument/2006/relationships/hyperlink" Target="https://map.naver.com/v5/search/%EC%95%88%EC%82%B0%EC%8B%9C%20%EC%83%81%EB%A1%9D%EA%B5%AC%20%EC%82%AC%EB%8F%99%201524-1" TargetMode="External"/><Relationship Id="rId575" Type="http://schemas.openxmlformats.org/officeDocument/2006/relationships/hyperlink" Target="https://map.naver.com/v5/search/%EC%9D%80%ED%8F%89%EA%B5%AC%20%EC%9D%91%EC%95%94%EB%8F%99%20110-9" TargetMode="External"/><Relationship Id="rId228" Type="http://schemas.openxmlformats.org/officeDocument/2006/relationships/hyperlink" Target="https://map.naver.com/v5/search/%EC%84%9C%EC%B4%88%EA%B5%AC%20%EC%84%9C%EC%B4%88%EB%8F%99%201567-13" TargetMode="External"/><Relationship Id="rId435" Type="http://schemas.openxmlformats.org/officeDocument/2006/relationships/hyperlink" Target="https://map.naver.com/v5/search/%EC%88%98%EC%A7%84%EB%8F%99%2053" TargetMode="External"/><Relationship Id="rId281" Type="http://schemas.openxmlformats.org/officeDocument/2006/relationships/hyperlink" Target="https://map.naver.com/v5/search/%EC%84%B1%EB%8F%99%EA%B5%AC%20%EC%84%B1%EC%88%98%EB%8F%992%EA%B0%80%20289-243" TargetMode="External"/><Relationship Id="rId502" Type="http://schemas.openxmlformats.org/officeDocument/2006/relationships/hyperlink" Target="https://map.naver.com/v5/search/%EC%9D%80%ED%8F%89%EA%B5%AC%20%EB%85%B9%EB%B2%88%EB%8F%99%2080-31" TargetMode="External"/><Relationship Id="rId76" Type="http://schemas.openxmlformats.org/officeDocument/2006/relationships/hyperlink" Target="https://map.naver.com/?query=%EC%84%9C%EC%9A%B8%20%EA%B0%95%EB%8F%99%EA%B5%AC%20%EC%84%B1%EB%82%B4%EB%8F%99%20464-8%22,%22%EC%A7%80%EB%8F%84" TargetMode="External"/><Relationship Id="rId141" Type="http://schemas.openxmlformats.org/officeDocument/2006/relationships/hyperlink" Target="https://map.naver.com/v5/search/%EA%B2%BD%EA%B8%B0%EB%8F%84%20%EC%8B%9C%ED%9D%A5%EC%8B%9C%20%EC%A0%95%EC%99%95%EB%8F%99%201742-13" TargetMode="External"/><Relationship Id="rId379" Type="http://schemas.openxmlformats.org/officeDocument/2006/relationships/hyperlink" Target="https://map.naver.com/v5/search/%EB%A7%88%ED%8F%AC%EA%B5%AC%20%EC%84%9C%EA%B5%90%EB%8F%99%20374-10" TargetMode="External"/><Relationship Id="rId586" Type="http://schemas.openxmlformats.org/officeDocument/2006/relationships/hyperlink" Target="https://map.naver.com/v5/search/%EB%A7%88%ED%8F%AC%EA%B5%AC%20%EC%84%9C%EA%B5%90%EB%8F%99%20396-46" TargetMode="External"/><Relationship Id="rId7" Type="http://schemas.openxmlformats.org/officeDocument/2006/relationships/hyperlink" Target="https://map.naver.com/v5/search/%EA%B2%BD%EA%B8%B0%20%EC%8B%9C%ED%9D%A5%EC%8B%9C%20%EC%9E%A5%ED%98%84%EB%8F%99%20545-4" TargetMode="External"/><Relationship Id="rId239" Type="http://schemas.openxmlformats.org/officeDocument/2006/relationships/hyperlink" Target="https://map.naver.com/v5/search/%EC%9D%B8%EC%B2%9C%EA%B4%91%EC%97%AD%EC%8B%9C%20%EC%A4%91%EA%B5%AC%20%EC%A4%91%EC%95%99%EB%8F%993%EA%B0%80%204-8" TargetMode="External"/><Relationship Id="rId446" Type="http://schemas.openxmlformats.org/officeDocument/2006/relationships/hyperlink" Target="https://map.naver.com/v5/search/%EA%B0%95%EB%82%A8%EA%B5%AC%20%EC%82%BC%EC%84%B1%EB%8F%99%20143-34" TargetMode="External"/><Relationship Id="rId292" Type="http://schemas.openxmlformats.org/officeDocument/2006/relationships/hyperlink" Target="https://map.naver.com/v5/search/%EC%9D%B8%EC%B2%9C%EA%B4%91%EC%97%AD%EC%8B%9C%20%EB%82%A8%EB%8F%99%EA%B5%AC%20%EC%84%9C%EC%B0%BD%EB%8F%99%20708-3" TargetMode="External"/><Relationship Id="rId306" Type="http://schemas.openxmlformats.org/officeDocument/2006/relationships/hyperlink" Target="https://map.naver.com/v5/search/%EC%84%B1%EB%82%A8%EC%8B%9C%20%EC%88%98%EC%A0%95%EA%B5%AC%20%EC%9E%A5%EC%A7%80%EB%8F%99%20883" TargetMode="External"/><Relationship Id="rId87" Type="http://schemas.openxmlformats.org/officeDocument/2006/relationships/hyperlink" Target="https://map.naver.com/v5/search/%EA%B0%95%EB%82%A8%EA%B5%AC%20%EC%82%BC%EC%84%B1%EB%8F%99%20120-12" TargetMode="External"/><Relationship Id="rId513" Type="http://schemas.openxmlformats.org/officeDocument/2006/relationships/hyperlink" Target="https://map.naver.com/v5/search/%EC%9D%B8%EC%B2%9C%20%EB%82%A8%EB%8F%99%EA%B5%AC%20%EA%B0%84%EC%84%9D%EB%8F%99%20915-5" TargetMode="External"/><Relationship Id="rId597" Type="http://schemas.openxmlformats.org/officeDocument/2006/relationships/hyperlink" Target="https://map.naver.com/v5/search/%EB%A7%88%ED%8F%AC%EA%B5%AC%20%EB%A7%9D%EC%9B%90%EB%8F%99%20477-12" TargetMode="External"/><Relationship Id="rId152" Type="http://schemas.openxmlformats.org/officeDocument/2006/relationships/hyperlink" Target="https://map.naver.com/v5/search/%EC%95%88%EC%96%91%EC%8B%9C%20%EB%8F%99%EC%95%88%EA%B5%AC%20%EA%B4%80%EC%96%91%EB%8F%99%201606" TargetMode="External"/><Relationship Id="rId457" Type="http://schemas.openxmlformats.org/officeDocument/2006/relationships/hyperlink" Target="https://map.naver.com/v5/search/%EC%9D%80%ED%8F%89%EA%B5%AC%20%EC%9D%91%EC%95%94%EB%8F%99%2084-1" TargetMode="External"/><Relationship Id="rId14" Type="http://schemas.openxmlformats.org/officeDocument/2006/relationships/hyperlink" Target="https://map.naver.com/v5/search/%EC%84%9C%EC%9A%B8%20%EC%86%A1%ED%8C%8C%EA%B5%AC%20%EB%AC%B8%EC%A0%95%EB%8F%99%20644-2" TargetMode="External"/><Relationship Id="rId317" Type="http://schemas.openxmlformats.org/officeDocument/2006/relationships/hyperlink" Target="https://map.naver.com/v5/search/%EA%B0%95%EB%82%A8%EA%B5%AC%20%EC%97%AD%EC%82%BC%EB%8F%99%20831-27" TargetMode="External"/><Relationship Id="rId524" Type="http://schemas.openxmlformats.org/officeDocument/2006/relationships/hyperlink" Target="https://map.naver.com/v5/search/%ED%99%94%EC%84%B1%EC%8B%9C%20%EC%A7%84%EC%95%88%EB%8F%99%20877-8" TargetMode="External"/><Relationship Id="rId98" Type="http://schemas.openxmlformats.org/officeDocument/2006/relationships/hyperlink" Target="https://map.naver.com/v5/search/%EC%84%B1%EB%82%A8%EC%8B%9C%20%EC%88%98%EC%A0%95%EA%B5%AC%20%EC%B0%BD%EA%B3%A1%EB%8F%99%20549-1" TargetMode="External"/><Relationship Id="rId163" Type="http://schemas.openxmlformats.org/officeDocument/2006/relationships/hyperlink" Target="https://map.naver.com/v5/search/%EC%95%88%EC%96%91%EC%8B%9C%20%EB%8F%99%EC%95%88%EA%B5%AC%20%EA%B4%80%EC%96%91%EB%8F%99%201597" TargetMode="External"/><Relationship Id="rId370" Type="http://schemas.openxmlformats.org/officeDocument/2006/relationships/hyperlink" Target="https://map.naver.com/v5/search/%EC%95%88%EC%82%B0%EC%8B%9C%20%EC%83%81%EB%A1%9D%EA%B5%AC%20%EC%82%AC%EB%8F%99%201304-6" TargetMode="External"/><Relationship Id="rId230" Type="http://schemas.openxmlformats.org/officeDocument/2006/relationships/hyperlink" Target="https://map.naver.com/v5/search/%EC%84%9C%EC%B4%88%EA%B5%AC%20%EC%84%9C%EC%B4%88%EB%8F%99%201571-10" TargetMode="External"/><Relationship Id="rId468" Type="http://schemas.openxmlformats.org/officeDocument/2006/relationships/hyperlink" Target="https://map.naver.com/v5/search/%EC%9D%80%ED%8F%89%EA%B5%AC%20%EA%B0%88%ED%98%84%EB%8F%99%20453-14" TargetMode="External"/><Relationship Id="rId25" Type="http://schemas.openxmlformats.org/officeDocument/2006/relationships/hyperlink" Target="https://map.naver.com/v5/search/%EA%B5%AC%EB%A1%9C%EA%B5%AC%20%EA%B5%AC%EB%A1%9C%EB%8F%99%201125-10" TargetMode="External"/><Relationship Id="rId328" Type="http://schemas.openxmlformats.org/officeDocument/2006/relationships/hyperlink" Target="https://map.naver.com/v5/search/%EC%98%81%EB%93%B1%ED%8F%AC%EA%B5%AC%20%EB%8B%B9%EC%82%B0%EB%8F%996%EA%B0%80%20341-1" TargetMode="External"/><Relationship Id="rId535" Type="http://schemas.openxmlformats.org/officeDocument/2006/relationships/hyperlink" Target="https://map.naver.com/v5/search/%EC%84%9C%EC%B4%88%EA%B5%AC%20%EB%B0%A9%EB%B0%B0%EB%8F%99%20985-13" TargetMode="External"/><Relationship Id="rId174" Type="http://schemas.openxmlformats.org/officeDocument/2006/relationships/hyperlink" Target="https://map.naver.com/v5/search/%EC%9D%B8%EC%B2%9C%EA%B4%91%EC%97%AD%EC%8B%9C%20%EB%AF%B8%EC%B6%94%ED%99%80%EA%B5%AC%20%EC%A3%BC%EC%95%88%EB%8F%99%20136-6" TargetMode="External"/><Relationship Id="rId381" Type="http://schemas.openxmlformats.org/officeDocument/2006/relationships/hyperlink" Target="https://map.naver.com/v5/search/%EB%A7%88%ED%8F%AC%EA%B5%AC%20%EB%8F%84%ED%99%94%EB%8F%99%20159-16" TargetMode="External"/><Relationship Id="rId602" Type="http://schemas.openxmlformats.org/officeDocument/2006/relationships/hyperlink" Target="https://map.naver.com/v5/search/%EC%95%88%EC%82%B0%20%EC%84%A0%EB%B6%80%EA%B4%91%EC%9E%A5%EB%B6%81%EB%A1%9C%2036" TargetMode="External"/><Relationship Id="rId241" Type="http://schemas.openxmlformats.org/officeDocument/2006/relationships/hyperlink" Target="https://map.naver.com/v5/search/%EA%B0%95%EB%82%A8%EA%B5%AC%20%EB%85%BC%ED%98%84%EB%8F%99%20236-6" TargetMode="External"/><Relationship Id="rId479" Type="http://schemas.openxmlformats.org/officeDocument/2006/relationships/hyperlink" Target="https://map.naver.com/v5/search/%EA%B0%95%EB%82%A8%EA%B5%AC%20%EC%97%AD%EC%82%BC%EB%8F%99%20719-35" TargetMode="External"/><Relationship Id="rId36" Type="http://schemas.openxmlformats.org/officeDocument/2006/relationships/hyperlink" Target="https://map.naver.com/v5/search/%EC%98%81%EB%93%B1%ED%8F%AC%EA%B5%AC%20%EC%98%81%EB%93%B1%ED%8F%AC%EB%8F%993%EA%B0%80%2016-2" TargetMode="External"/><Relationship Id="rId339" Type="http://schemas.openxmlformats.org/officeDocument/2006/relationships/hyperlink" Target="https://map.naver.com/v5/search/%EC%98%81%EB%93%B1%ED%8F%AC%EA%B5%AC%20%EB%8B%B9%EC%82%B0%EB%8F%993%EA%B0%80%20198" TargetMode="External"/><Relationship Id="rId546" Type="http://schemas.openxmlformats.org/officeDocument/2006/relationships/hyperlink" Target="https://map.naver.com/v5/search/%EA%B5%B0%ED%8F%AC%EC%8B%9C%20%EA%B8%88%EC%A0%95%EB%8F%99%20874" TargetMode="External"/><Relationship Id="rId78" Type="http://schemas.openxmlformats.org/officeDocument/2006/relationships/hyperlink" Target="https://map.naver.com/?query=%EC%84%9C%EC%9A%B8%20%EA%B0%95%EB%8F%99%EA%B5%AC%20%EC%84%B1%EB%82%B4%EB%8F%99%20469%22,%22%EC%A7%80%EB%8F%84" TargetMode="External"/><Relationship Id="rId101" Type="http://schemas.openxmlformats.org/officeDocument/2006/relationships/hyperlink" Target="https://map.naver.com/v5/search/%EC%84%9C%EC%B4%88%EA%B5%AC%20%EC%84%9C%EC%B4%88%EB%8F%99%201443-11" TargetMode="External"/><Relationship Id="rId143" Type="http://schemas.openxmlformats.org/officeDocument/2006/relationships/hyperlink" Target="https://map.naver.com/p/search/%EA%B2%BD%EA%B8%B0%EB%8F%84%20%EC%8B%9C%ED%9D%A5%EC%8B%9C%20%EC%A0%95%EC%99%95%EB%8F%99%201727-2%22,%22%EC%A7%80%EB%8F%84" TargetMode="External"/><Relationship Id="rId185" Type="http://schemas.openxmlformats.org/officeDocument/2006/relationships/hyperlink" Target="https://map.naver.com/v5/search/%EC%9D%B8%EC%B2%9C%EA%B4%91%EC%97%AD%EC%8B%9C%20%EB%82%A8%EB%8F%99%EA%B5%AC%20%EC%84%9C%EC%B0%BD%EB%8F%99%20708-1" TargetMode="External"/><Relationship Id="rId350" Type="http://schemas.openxmlformats.org/officeDocument/2006/relationships/hyperlink" Target="https://map.naver.com/v5/search/%EC%98%81%EB%93%B1%ED%8F%AC%EA%B5%AC%20%EB%8B%B9%EC%82%B0%EB%8F%994%EA%B0%80%201-18" TargetMode="External"/><Relationship Id="rId406" Type="http://schemas.openxmlformats.org/officeDocument/2006/relationships/hyperlink" Target="https://map.naver.com/v5/search/%EC%9A%A9%EC%82%B0%EA%B5%AC%20%EC%9D%B4%ED%83%9C%EC%9B%90%EB%8F%99%20128-3" TargetMode="External"/><Relationship Id="rId588" Type="http://schemas.openxmlformats.org/officeDocument/2006/relationships/hyperlink" Target="https://map.naver.com/v5/search/%EB%A7%88%ED%8F%AC%EA%B5%AC%20%ED%95%A9%EC%A0%95%EB%8F%99%20354-22" TargetMode="External"/><Relationship Id="rId9" Type="http://schemas.openxmlformats.org/officeDocument/2006/relationships/hyperlink" Target="https://map.naver.com/v5/search/%EA%B2%BD%EA%B8%B0%20%ED%95%98%EB%82%A8%EC%8B%9C%20%EB%A7%9D%EC%9B%94%EB%8F%99%201121" TargetMode="External"/><Relationship Id="rId210" Type="http://schemas.openxmlformats.org/officeDocument/2006/relationships/hyperlink" Target="https://map.naver.com/v5/search/%EA%B3%A0%EC%96%91%EC%8B%9C%20%EB%8D%95%EC%96%91%EA%B5%AC%20%ED%99%94%EC%A0%95%EB%8F%99%20975" TargetMode="External"/><Relationship Id="rId392" Type="http://schemas.openxmlformats.org/officeDocument/2006/relationships/hyperlink" Target="https://map.naver.com/v5/search/%EC%96%91%EC%B2%9C%EA%B5%AC%20%EB%AA%A9%EB%8F%99%20406-184" TargetMode="External"/><Relationship Id="rId448" Type="http://schemas.openxmlformats.org/officeDocument/2006/relationships/hyperlink" Target="https://map.naver.com/v5/search/%EA%B0%95%EB%82%A8%EA%B5%AC%20%EC%97%AD%EC%82%BC%EB%8F%99%20826-34" TargetMode="External"/><Relationship Id="rId613" Type="http://schemas.openxmlformats.org/officeDocument/2006/relationships/hyperlink" Target="https://map.naver.com/v5/search/%EB%A7%88%ED%8F%AC%EA%B5%AC%20%EC%84%B1%EC%82%B0%EB%8F%99%20260-8" TargetMode="External"/><Relationship Id="rId252" Type="http://schemas.openxmlformats.org/officeDocument/2006/relationships/hyperlink" Target="https://map.naver.com/v5/search/%EA%B0%95%EB%82%A8%EA%B5%AC%20%EC%8B%A0%EC%82%AC%EB%8F%99%20577-10" TargetMode="External"/><Relationship Id="rId294" Type="http://schemas.openxmlformats.org/officeDocument/2006/relationships/hyperlink" Target="https://map.naver.com/v5/search/%EC%9D%B8%EC%B2%9C%EA%B4%91%EC%97%AD%EC%8B%9C%20%EB%82%A8%EB%8F%99%EA%B5%AC%20%EC%84%9C%EC%B0%BD%EB%8F%99%20708-2" TargetMode="External"/><Relationship Id="rId308" Type="http://schemas.openxmlformats.org/officeDocument/2006/relationships/hyperlink" Target="https://map.naver.com/v5/search/%EC%9D%B8%EC%B2%9C%EA%B4%91%EC%97%AD%EC%8B%9C%20%EC%97%B0%EC%88%98%EA%B5%AC%20%EC%86%A1%EB%8F%84%EB%8F%99%2021-34" TargetMode="External"/><Relationship Id="rId515" Type="http://schemas.openxmlformats.org/officeDocument/2006/relationships/hyperlink" Target="https://map.naver.com/v5/search/%EC%9D%B8%EC%B2%9C%20%EA%B3%84%EC%96%91%EA%B5%AC%20%EA%B3%84%EC%82%B0%EB%8F%99%201076-12" TargetMode="External"/><Relationship Id="rId47" Type="http://schemas.openxmlformats.org/officeDocument/2006/relationships/hyperlink" Target="https://map.naver.com/v5/search/%EA%B0%95%EB%8F%99%EA%B5%AC%20%EC%B2%9C%ED%98%B8%EB%8F%99%20155-7" TargetMode="External"/><Relationship Id="rId89" Type="http://schemas.openxmlformats.org/officeDocument/2006/relationships/hyperlink" Target="https://map.naver.com/v5/search/%EA%B0%95%EB%82%A8%EA%B5%AC%20%EC%97%AD%EC%82%BC%EB%8F%99%20704-54" TargetMode="External"/><Relationship Id="rId112" Type="http://schemas.openxmlformats.org/officeDocument/2006/relationships/hyperlink" Target="https://map.naver.com/v5/search/%EA%B4%80%EC%95%85%EA%B5%AC%20%EC%8B%A0%EB%A6%BC%EB%8F%99%201517-1" TargetMode="External"/><Relationship Id="rId154" Type="http://schemas.openxmlformats.org/officeDocument/2006/relationships/hyperlink" Target="https://map.naver.com/v5/search/%EC%95%88%EC%96%91%EC%8B%9C%20%EB%8F%99%EC%95%88%EA%B5%AC%20%EA%B4%80%EC%96%91%EB%8F%99%201725-3" TargetMode="External"/><Relationship Id="rId361" Type="http://schemas.openxmlformats.org/officeDocument/2006/relationships/hyperlink" Target="https://map.naver.com/v5/search/%EC%96%91%EC%B2%9C%EA%B5%AC%20%EC%8B%A0%EC%A0%95%EB%8F%99%20978-19" TargetMode="External"/><Relationship Id="rId557" Type="http://schemas.openxmlformats.org/officeDocument/2006/relationships/hyperlink" Target="https://map.naver.com/v5/search/%EC%84%9C%EB%8C%80%EB%AC%B8%EA%B5%AC%20%ED%99%8D%EC%9D%80%EB%8F%99%20294-36" TargetMode="External"/><Relationship Id="rId599" Type="http://schemas.openxmlformats.org/officeDocument/2006/relationships/hyperlink" Target="https://map.naver.com/v5/search/%EB%A7%88%ED%8F%AC%EA%B5%AC%20%EA%B5%AC%EC%88%98%EB%8F%99%2014" TargetMode="External"/><Relationship Id="rId196" Type="http://schemas.openxmlformats.org/officeDocument/2006/relationships/hyperlink" Target="https://map.naver.com/v5/search/%EC%9D%B8%EC%B2%9C%EA%B4%91%EC%97%AD%EC%8B%9C%20%EB%AF%B8%EC%B6%94%ED%99%80%EA%B5%AC%20%EC%A3%BC%EC%95%88%EB%8F%99%20173-1" TargetMode="External"/><Relationship Id="rId417" Type="http://schemas.openxmlformats.org/officeDocument/2006/relationships/hyperlink" Target="https://map.naver.com/v5/search/%EC%A2%85%EB%A1%9C%EA%B5%AC%20%EB%AA%85%EB%A5%9C4%EA%B0%80%2021" TargetMode="External"/><Relationship Id="rId459" Type="http://schemas.openxmlformats.org/officeDocument/2006/relationships/hyperlink" Target="https://map.naver.com/v5/search/%EA%B0%95%EB%82%A8%EA%B5%AC%20%EC%97%AD%EC%82%BC%EB%8F%99%20701-1" TargetMode="External"/><Relationship Id="rId624" Type="http://schemas.openxmlformats.org/officeDocument/2006/relationships/hyperlink" Target="https://map.naver.com/v5/search/%EA%B0%95%EB%82%A8%EA%B5%AC%20%EC%97%AD%EC%82%BC%EB%8F%99%20673-27" TargetMode="External"/><Relationship Id="rId16" Type="http://schemas.openxmlformats.org/officeDocument/2006/relationships/hyperlink" Target="https://map.naver.com/v5/search/%EA%B2%BD%EA%B8%B0%20%EC%8B%9C%ED%9D%A5%EC%8B%9C%20%EC%9E%A5%ED%98%84%EB%8F%99%20530-5" TargetMode="External"/><Relationship Id="rId221" Type="http://schemas.openxmlformats.org/officeDocument/2006/relationships/hyperlink" Target="https://map.naver.com/v5/search/%EC%9A%A9%EC%9D%B8%EC%8B%9C%20%EC%88%98%EC%A7%80%EA%B5%AC%20%EB%8F%99%EC%B2%9C%EB%8F%99%20873" TargetMode="External"/><Relationship Id="rId263" Type="http://schemas.openxmlformats.org/officeDocument/2006/relationships/hyperlink" Target="https://map.naver.com/v5/search/%EC%95%88%EC%82%B0%EC%8B%9C%20%EB%8B%A8%EC%9B%90%EA%B5%AC%20%EA%B3%A0%EC%9E%94%EB%8F%99%20537-6" TargetMode="External"/><Relationship Id="rId319" Type="http://schemas.openxmlformats.org/officeDocument/2006/relationships/hyperlink" Target="https://map.naver.com/v5/search/%EA%B0%95%EB%82%A8%EA%B5%AC%20%EC%97%AD%EC%82%BC%EB%8F%99%20799-9" TargetMode="External"/><Relationship Id="rId470" Type="http://schemas.openxmlformats.org/officeDocument/2006/relationships/hyperlink" Target="https://map.naver.com/v5/search/%EC%9D%80%ED%8F%89%EA%B5%AC%20%EA%B0%88%ED%98%84%EB%8F%99%20453-25" TargetMode="External"/><Relationship Id="rId526" Type="http://schemas.openxmlformats.org/officeDocument/2006/relationships/hyperlink" Target="https://map.naver.com/v5/search/%ED%99%94%EC%84%B1%EC%8B%9C%20%EC%A7%84%EC%95%88%EB%8F%99%20877-1" TargetMode="External"/><Relationship Id="rId58" Type="http://schemas.openxmlformats.org/officeDocument/2006/relationships/hyperlink" Target="https://map.naver.com/p/search/%EA%B0%95%EB%8F%99%EA%B5%AC%20%EB%91%94%EC%B4%8C%EB%8F%99%20426-000" TargetMode="External"/><Relationship Id="rId123" Type="http://schemas.openxmlformats.org/officeDocument/2006/relationships/hyperlink" Target="https://map.naver.com/v5/search/%EC%9D%B8%EC%B2%9C%20%EC%97%B0%EC%88%98%EA%B5%AC%20%EC%97%B0%EC%88%98%EB%8F%99%20592-6" TargetMode="External"/><Relationship Id="rId330" Type="http://schemas.openxmlformats.org/officeDocument/2006/relationships/hyperlink" Target="https://map.naver.com/v5/search/%EC%98%81%EB%93%B1%ED%8F%AC%EA%B5%AC%20%EB%8B%B9%EC%82%B0%EB%8F%996%EA%B0%80%20310" TargetMode="External"/><Relationship Id="rId568" Type="http://schemas.openxmlformats.org/officeDocument/2006/relationships/hyperlink" Target="https://map.naver.com/v5/search/%EC%9D%80%ED%8F%89%EA%B5%AC%20%EC%9D%91%EC%95%94%EB%8F%99%20591-39" TargetMode="External"/><Relationship Id="rId165" Type="http://schemas.openxmlformats.org/officeDocument/2006/relationships/hyperlink" Target="https://map.naver.com/v5/search/%EC%9D%98%EC%99%95%EC%8B%9C%20%EB%82%B4%EC%86%90%EB%8F%99%20416-3" TargetMode="External"/><Relationship Id="rId372" Type="http://schemas.openxmlformats.org/officeDocument/2006/relationships/hyperlink" Target="https://map.naver.com/v5/search/%EC%84%9C%EB%8C%80%EB%AC%B8%EA%B5%AC%20%EB%8C%80%ED%98%84%EB%8F%99%2040-13" TargetMode="External"/><Relationship Id="rId428" Type="http://schemas.openxmlformats.org/officeDocument/2006/relationships/hyperlink" Target="https://map.naver.com/v5/search/%ED%95%98%EB%8C%80%EC%9B%90%EB%8F%99%20110-4" TargetMode="External"/><Relationship Id="rId232" Type="http://schemas.openxmlformats.org/officeDocument/2006/relationships/hyperlink" Target="https://map.naver.com/v5/search/%EC%84%9C%EC%B4%88%EA%B5%AC%20%EC%84%9C%EC%B4%88%EB%8F%99%201457-2" TargetMode="External"/><Relationship Id="rId274" Type="http://schemas.openxmlformats.org/officeDocument/2006/relationships/hyperlink" Target="https://map.naver.com/v5/search/%EC%84%9C%EC%9A%B8%20%EC%98%81%EB%93%B1%ED%8F%AC%EA%B5%AC%20%EB%8B%B9%EC%82%B0%EB%8F%996%EA%B0%80%203-5" TargetMode="External"/><Relationship Id="rId481" Type="http://schemas.openxmlformats.org/officeDocument/2006/relationships/hyperlink" Target="https://map.naver.com/v5/search/%EC%9D%80%ED%8F%89%EA%B5%AC%20%EB%B6%88%EA%B4%91%EB%8F%99%2013-19" TargetMode="External"/><Relationship Id="rId27" Type="http://schemas.openxmlformats.org/officeDocument/2006/relationships/hyperlink" Target="https://map.naver.com/v5/search/%EA%B5%AC%EB%A1%9C%EA%B5%AC%20%EA%B5%AC%EB%A1%9C%EB%8F%99%201124-15" TargetMode="External"/><Relationship Id="rId69" Type="http://schemas.openxmlformats.org/officeDocument/2006/relationships/hyperlink" Target="https://map.naver.com/p/search/%EC%98%81%ED%86%B5%EA%B5%AC%20%EC%98%81%ED%86%B5%EB%8F%99%201037-12" TargetMode="External"/><Relationship Id="rId134" Type="http://schemas.openxmlformats.org/officeDocument/2006/relationships/hyperlink" Target="https://map.naver.com/v5/search/%EA%B2%BD%EA%B8%B0%EB%8F%84%20%EC%8B%9C%ED%9D%A5%EC%8B%9C%20%EC%A0%95%EC%99%95%EB%8F%99%201736-6" TargetMode="External"/><Relationship Id="rId537" Type="http://schemas.openxmlformats.org/officeDocument/2006/relationships/hyperlink" Target="https://map.naver.com/v5/search/%EC%84%9C%EC%B4%88%EA%B5%AC%20%EB%B0%A9%EB%B0%B0%EB%8F%99%20923-6" TargetMode="External"/><Relationship Id="rId579" Type="http://schemas.openxmlformats.org/officeDocument/2006/relationships/hyperlink" Target="https://map.naver.com/v5/search/%EC%9D%80%ED%8F%89%EA%B5%AC%20%EB%B6%88%EA%B4%91%EB%8F%99%20290-12" TargetMode="External"/><Relationship Id="rId80" Type="http://schemas.openxmlformats.org/officeDocument/2006/relationships/hyperlink" Target="https://map.naver.com/?query=%EC%84%9C%EC%9A%B8%20%EA%B0%95%EB%8F%99%EA%B5%AC%20%EC%84%B1%EB%82%B4%EB%8F%99%20421-38%22,%22%EC%A7%80%EB%8F%84" TargetMode="External"/><Relationship Id="rId176" Type="http://schemas.openxmlformats.org/officeDocument/2006/relationships/hyperlink" Target="https://map.naver.com/v5/search/%EC%98%81%EB%93%B1%ED%8F%AC%EA%B5%AC%20%EC%8B%A0%EA%B8%B8%EB%8F%99%20820" TargetMode="External"/><Relationship Id="rId341" Type="http://schemas.openxmlformats.org/officeDocument/2006/relationships/hyperlink" Target="https://map.naver.com/v5/search/%EC%98%81%EB%93%B1%ED%8F%AC%EA%B5%AC%20%EB%8B%B9%EC%82%B0%EB%8F%993%EA%B0%80%20223-3" TargetMode="External"/><Relationship Id="rId383" Type="http://schemas.openxmlformats.org/officeDocument/2006/relationships/hyperlink" Target="https://map.naver.com/v5/search/%EC%88%98%EC%9B%90%EC%8B%9C%20%EC%9E%A5%EC%95%88%EA%B5%AC%20%EC%97%B0%EB%AC%B4%EB%8F%99%20245-17" TargetMode="External"/><Relationship Id="rId439" Type="http://schemas.openxmlformats.org/officeDocument/2006/relationships/hyperlink" Target="https://map.naver.com/v5/search/%EC%8B%A0%EC%82%AC%EB%8F%99%20664" TargetMode="External"/><Relationship Id="rId590" Type="http://schemas.openxmlformats.org/officeDocument/2006/relationships/hyperlink" Target="https://map.naver.com/v5/search/%EB%A7%88%ED%8F%AC%EA%B5%AC%20%EC%83%81%EC%88%98%EB%8F%99%20309-2" TargetMode="External"/><Relationship Id="rId604" Type="http://schemas.openxmlformats.org/officeDocument/2006/relationships/hyperlink" Target="https://map.naver.com/v5/search/%EC%95%88%EC%82%B0%20%EC%B4%88%EC%A7%80%EB%8F%99%20803" TargetMode="External"/><Relationship Id="rId201" Type="http://schemas.openxmlformats.org/officeDocument/2006/relationships/hyperlink" Target="https://map.naver.com/v5/search/%EC%9D%B8%EC%B2%9C%EA%B4%91%EC%97%AD%EC%8B%9C%20%EA%B3%84%EC%96%91%EA%B5%AC%20%EA%B3%84%EC%82%B0%EB%8F%99%201063-2" TargetMode="External"/><Relationship Id="rId243" Type="http://schemas.openxmlformats.org/officeDocument/2006/relationships/hyperlink" Target="https://map.naver.com/v5/search/%EC%8B%9C%ED%9D%A5%EC%8B%9C%20%EB%8C%80%EC%95%BC%EB%8F%99%20290-5" TargetMode="External"/><Relationship Id="rId285" Type="http://schemas.openxmlformats.org/officeDocument/2006/relationships/hyperlink" Target="https://map.naver.com/v5/search/%EA%B0%95%EB%82%A8%EA%B5%AC%20%EC%97%AD%EC%82%BC%EB%8F%99%20697-45" TargetMode="External"/><Relationship Id="rId450" Type="http://schemas.openxmlformats.org/officeDocument/2006/relationships/hyperlink" Target="https://map.naver.com/v5/search/%EA%B0%95%EB%82%A8%EA%B5%AC%20%EC%97%AD%EC%82%BC%EB%8F%99%20646-14" TargetMode="External"/><Relationship Id="rId506" Type="http://schemas.openxmlformats.org/officeDocument/2006/relationships/hyperlink" Target="https://map.naver.com/v5/search/%EC%9D%80%ED%8F%89%EA%B5%AC%20%EC%97%AD%EC%B4%8C%EB%8F%99%208-38" TargetMode="External"/><Relationship Id="rId38" Type="http://schemas.openxmlformats.org/officeDocument/2006/relationships/hyperlink" Target="https://map.naver.com/v5/search/%EC%84%9C%EC%9A%B8%ED%8A%B9%EB%B3%84%EC%8B%9C%20%EA%B0%95%EB%82%A8%EA%B5%AC%20%EC%97%AD%EC%82%BC%EB%8F%99%20840-8" TargetMode="External"/><Relationship Id="rId103" Type="http://schemas.openxmlformats.org/officeDocument/2006/relationships/hyperlink" Target="https://map.naver.com/v5/search/%EC%84%B1%EB%82%A8%EC%8B%9C%20%EC%88%98%EC%A0%95%EA%B5%AC%20%EC%B0%BD%EA%B3%A1%EB%8F%99%20555-11" TargetMode="External"/><Relationship Id="rId310" Type="http://schemas.openxmlformats.org/officeDocument/2006/relationships/hyperlink" Target="https://map.naver.com/v5/search/%EC%9D%B8%EC%B2%9C%EA%B4%91%EC%97%AD%EC%8B%9C%20%EC%84%9C%EA%B5%AC%20%EA%B0%80%EC%A0%95%EB%8F%99%20611-6" TargetMode="External"/><Relationship Id="rId492" Type="http://schemas.openxmlformats.org/officeDocument/2006/relationships/hyperlink" Target="https://map.naver.com/v5/search/%EA%B3%A0%EC%96%91%EC%8B%9C%20%EB%8D%95%EC%96%91%EA%B5%AC%20%EC%82%BC%EC%86%A1%EB%8F%99%20347-1" TargetMode="External"/><Relationship Id="rId548" Type="http://schemas.openxmlformats.org/officeDocument/2006/relationships/hyperlink" Target="https://map.naver.com/v5/search/%EA%B9%80%ED%8F%AC%EC%8B%9C%20%EB%A7%88%EC%82%B0%EB%8F%99%20650-2" TargetMode="External"/><Relationship Id="rId91" Type="http://schemas.openxmlformats.org/officeDocument/2006/relationships/hyperlink" Target="https://map.naver.com/v5/search/%EB%8F%99%EC%9E%91%EA%B5%AC%20%EC%82%AC%EB%8B%B9%EB%8F%99%20130-25" TargetMode="External"/><Relationship Id="rId145" Type="http://schemas.openxmlformats.org/officeDocument/2006/relationships/hyperlink" Target="https://map.naver.com/p/search/%EC%84%9C%EC%9A%B8%20%EA%B8%88%EC%B2%9C%EA%B5%AC%20%EB%8F%85%EC%82%B0%EB%8F%99%20951-4%22,%22%EC%A7%80%EB%8F%84" TargetMode="External"/><Relationship Id="rId187" Type="http://schemas.openxmlformats.org/officeDocument/2006/relationships/hyperlink" Target="https://map.naver.com/v5/search/%EB%85%B8%EC%9B%90%EA%B5%AC%20%EC%83%81%EA%B3%84%EB%8F%99%20327-1" TargetMode="External"/><Relationship Id="rId352" Type="http://schemas.openxmlformats.org/officeDocument/2006/relationships/hyperlink" Target="https://map.naver.com/v5/search/%EC%84%9C%EC%B4%88%EA%B5%AC%20%EC%84%9C%EC%B4%88%EB%8F%99%201328-11" TargetMode="External"/><Relationship Id="rId394" Type="http://schemas.openxmlformats.org/officeDocument/2006/relationships/hyperlink" Target="https://map.naver.com/v5/search/%EC%96%91%EC%B2%9C%EA%B5%AC%20%EB%AA%A9%EB%8F%99%20405-70" TargetMode="External"/><Relationship Id="rId408" Type="http://schemas.openxmlformats.org/officeDocument/2006/relationships/hyperlink" Target="https://map.naver.com/v5/search/%EA%B0%95%EB%82%A8%EA%B5%AC%20%EC%8B%A0%EC%82%AC%EB%8F%99%20581" TargetMode="External"/><Relationship Id="rId615" Type="http://schemas.openxmlformats.org/officeDocument/2006/relationships/hyperlink" Target="https://map.naver.com/v5/search/%ED%95%98%EB%82%A8%20%EC%B0%BD%EC%9A%B0%EB%8F%99%2051-59" TargetMode="External"/><Relationship Id="rId212" Type="http://schemas.openxmlformats.org/officeDocument/2006/relationships/hyperlink" Target="https://map.naver.com/v5/search/%EC%88%98%EC%9B%90%EC%8B%9C%20%ED%8C%94%EB%8B%AC%EA%B5%AC%20%EC%9D%B8%EA%B3%84%EB%8F%99%201037-3" TargetMode="External"/><Relationship Id="rId254" Type="http://schemas.openxmlformats.org/officeDocument/2006/relationships/hyperlink" Target="https://map.naver.com/v5/search/%EA%B0%95%EB%82%A8%EA%B5%AC%20%EC%8B%A0%EC%82%AC%EB%8F%99%20651-5" TargetMode="External"/><Relationship Id="rId49" Type="http://schemas.openxmlformats.org/officeDocument/2006/relationships/hyperlink" Target="https://map.naver.com/v5/search/%EA%B0%95%EB%8F%99%EA%B5%AC%20%EC%84%B1%EB%82%B4%EB%8F%99%20439-5" TargetMode="External"/><Relationship Id="rId114" Type="http://schemas.openxmlformats.org/officeDocument/2006/relationships/hyperlink" Target="https://map.naver.com/v5/search/%EA%B4%80%EC%95%85%EA%B5%AC%20%EC%8B%A0%EB%A6%BC%EB%8F%99%20409-4" TargetMode="External"/><Relationship Id="rId296" Type="http://schemas.openxmlformats.org/officeDocument/2006/relationships/hyperlink" Target="https://map.naver.com/v5/search/%EC%86%A1%ED%8C%8C%EA%B5%AC%20%EC%9E%A5%EC%A7%80%EB%8F%99%20883" TargetMode="External"/><Relationship Id="rId461" Type="http://schemas.openxmlformats.org/officeDocument/2006/relationships/hyperlink" Target="https://map.naver.com/v5/search/%EC%9D%80%ED%8F%89%EA%B5%AC%20%EA%B0%88%ED%98%84%EB%8F%99%20110-5" TargetMode="External"/><Relationship Id="rId517" Type="http://schemas.openxmlformats.org/officeDocument/2006/relationships/hyperlink" Target="https://map.naver.com/v5/search/%EC%9D%B8%EC%B2%9C%20%EA%B3%84%EC%96%91%EA%B5%AC%20%EC%9E%91%EC%A0%84%EB%8F%99%20854-14" TargetMode="External"/><Relationship Id="rId559" Type="http://schemas.openxmlformats.org/officeDocument/2006/relationships/hyperlink" Target="https://map.naver.com/v5/search/%EC%84%9C%EB%8C%80%EB%AC%B8%EA%B5%AC%20%ED%99%8D%EC%A0%9C%EB%8F%99%20305-3%20%ED%8B%B0%EC%9B%94%EB%93%9C" TargetMode="External"/><Relationship Id="rId60" Type="http://schemas.openxmlformats.org/officeDocument/2006/relationships/hyperlink" Target="https://map.naver.com/p/search/%EA%B5%B0%ED%8F%AC%EC%8B%9C%20%EC%82%B0%EB%B3%B8%EB%8F%99%201137-3" TargetMode="External"/><Relationship Id="rId156" Type="http://schemas.openxmlformats.org/officeDocument/2006/relationships/hyperlink" Target="https://map.naver.com/v5/search/%EC%95%88%EC%96%91%EC%8B%9C%20%EB%8F%99%EC%95%88%EA%B5%AC%20%EB%B9%84%EC%82%B0%EB%8F%99%20422-12" TargetMode="External"/><Relationship Id="rId198" Type="http://schemas.openxmlformats.org/officeDocument/2006/relationships/hyperlink" Target="https://map.naver.com/v5/search/%EC%9D%B8%EC%B2%9C%EA%B4%91%EC%97%AD%EC%8B%9C%20%EB%82%A8%EB%8F%99%EA%B5%AC%20%EA%B5%AC%EC%9B%94%EB%8F%99%201492-3" TargetMode="External"/><Relationship Id="rId321" Type="http://schemas.openxmlformats.org/officeDocument/2006/relationships/hyperlink" Target="https://map.naver.com/v5/search/%EA%B0%95%EB%82%A8%EA%B5%AC%20%EB%8C%80%EC%B9%98%EB%8F%99%20935" TargetMode="External"/><Relationship Id="rId363" Type="http://schemas.openxmlformats.org/officeDocument/2006/relationships/hyperlink" Target="https://map.naver.com/v5/search/%EA%B5%B0%ED%8F%AC%EC%8B%9C%20%EC%82%B0%EB%B3%B8%EB%8F%99%201099-4" TargetMode="External"/><Relationship Id="rId419" Type="http://schemas.openxmlformats.org/officeDocument/2006/relationships/hyperlink" Target="https://map.naver.com/v5/search/%EC%A2%85%EB%A1%9C%EA%B5%AC%20%EB%AA%85%EB%A5%9C2%EA%B0%80%2028" TargetMode="External"/><Relationship Id="rId570" Type="http://schemas.openxmlformats.org/officeDocument/2006/relationships/hyperlink" Target="https://map.naver.com/v5/search/%EC%9D%80%ED%8F%89%EA%B5%AC%20%EC%9D%91%EC%95%94%EB%8F%99%20107-12" TargetMode="External"/><Relationship Id="rId626" Type="http://schemas.openxmlformats.org/officeDocument/2006/relationships/hyperlink" Target="https://map.naver.com/v5/search/%EC%95%88%EC%82%B0%20%EA%B3%A0%EC%9E%94%EB%8F%99%20540-14" TargetMode="External"/><Relationship Id="rId223" Type="http://schemas.openxmlformats.org/officeDocument/2006/relationships/hyperlink" Target="https://map.naver.com/v5/search/%EC%84%9C%EC%B4%88%EA%B5%AC%20%EC%84%9C%EC%B4%88%EB%8F%99%201557-11" TargetMode="External"/><Relationship Id="rId430" Type="http://schemas.openxmlformats.org/officeDocument/2006/relationships/hyperlink" Target="https://map.naver.com/v5/search/%EC%84%B1%EB%82%A8%EB%8F%99%203536" TargetMode="External"/><Relationship Id="rId18" Type="http://schemas.openxmlformats.org/officeDocument/2006/relationships/hyperlink" Target="https://map.naver.com/v5/search/%EC%95%88%EC%96%91%EC%8B%9C%20%EB%A7%8C%EC%95%88%EA%B5%AC%20%EC%95%88%EC%96%91%EB%8F%99%20194-18" TargetMode="External"/><Relationship Id="rId265" Type="http://schemas.openxmlformats.org/officeDocument/2006/relationships/hyperlink" Target="https://map.naver.com/v5/search/%EC%95%88%EC%82%B0%EC%8B%9C%20%EB%8B%A8%EC%9B%90%EA%B5%AC%20%EC%84%A0%EB%B6%80%EB%8F%99%201077-15" TargetMode="External"/><Relationship Id="rId472" Type="http://schemas.openxmlformats.org/officeDocument/2006/relationships/hyperlink" Target="https://map.naver.com/v5/search/%EC%9D%80%ED%8F%89%EA%B5%AC%20%EA%B0%88%ED%98%84%EB%8F%99%20455-14" TargetMode="External"/><Relationship Id="rId528" Type="http://schemas.openxmlformats.org/officeDocument/2006/relationships/hyperlink" Target="https://map.naver.com/v5/search/%EC%9D%B8%EC%B2%9C%20%EA%B3%84%EC%96%91%EA%B5%AC%20%EC%9A%A9%EC%A2%85%EB%8F%99%20210-4" TargetMode="External"/><Relationship Id="rId125" Type="http://schemas.openxmlformats.org/officeDocument/2006/relationships/hyperlink" Target="https://map.naver.com/v5/search/%EC%9D%B8%EC%B2%9C%20%EC%97%B0%EC%88%98%EA%B5%AC%20%EC%97%B0%EC%88%98%EB%8F%99%20598-12" TargetMode="External"/><Relationship Id="rId167" Type="http://schemas.openxmlformats.org/officeDocument/2006/relationships/hyperlink" Target="https://map.naver.com/v5/search/%EC%95%88%EC%96%91%EC%8B%9C%20%EB%8F%99%EC%95%88%EA%B5%AC%20%ED%8F%89%EC%B4%8C%EB%8F%99%20904-2" TargetMode="External"/><Relationship Id="rId332" Type="http://schemas.openxmlformats.org/officeDocument/2006/relationships/hyperlink" Target="https://map.naver.com/v5/search/%EC%98%81%EB%93%B1%ED%8F%AC%EA%B5%AC%20%EB%8B%B9%EC%82%B0%EB%8F%995%EA%B0%80%2042" TargetMode="External"/><Relationship Id="rId374" Type="http://schemas.openxmlformats.org/officeDocument/2006/relationships/hyperlink" Target="https://map.naver.com/v5/search/%EC%9D%B8%EC%B2%9C%EA%B4%91%EC%97%AD%EC%8B%9C%20%EC%84%9C%EA%B5%AC%20%EA%B0%80%EC%A0%95%EB%8F%99%20616-3" TargetMode="External"/><Relationship Id="rId581" Type="http://schemas.openxmlformats.org/officeDocument/2006/relationships/hyperlink" Target="https://map.naver.com/v5/search/%EC%9D%B8%EC%B2%9C%20%EA%B3%84%EC%96%91%EA%B5%AC%20%EC%9A%A9%EC%A2%85%EB%8F%99%20212-5" TargetMode="External"/><Relationship Id="rId71" Type="http://schemas.openxmlformats.org/officeDocument/2006/relationships/hyperlink" Target="https://map.naver.com/p/search/%EC%98%81%ED%86%B5%EA%B5%AC%20%EC%98%81%ED%86%B5%EB%8F%99%20975-10" TargetMode="External"/><Relationship Id="rId234" Type="http://schemas.openxmlformats.org/officeDocument/2006/relationships/hyperlink" Target="https://map.naver.com/v5/search/%EC%9D%B8%EC%B2%9C%EA%B4%91%EC%97%AD%EC%8B%9C%20%EB%AF%B8%EC%B6%94%ED%99%80%EA%B5%AC%20%EC%A3%BC%EC%95%88%EB%8F%99%20505-5" TargetMode="External"/><Relationship Id="rId2" Type="http://schemas.openxmlformats.org/officeDocument/2006/relationships/hyperlink" Target="https://map.naver.com/v5/search/%EC%9A%A9%EC%9D%B8%EC%8B%9C%20%EC%B2%98%EC%9D%B8%EA%B5%AC%20%EA%B9%80%EB%9F%89%EC%9E%A5%EB%8F%99%20345-3" TargetMode="External"/><Relationship Id="rId29" Type="http://schemas.openxmlformats.org/officeDocument/2006/relationships/hyperlink" Target="https://map.naver.com/v5/search/%EA%B5%AC%EB%A1%9C%EA%B5%AC%20%EA%B5%AC%EB%A1%9C%EB%8F%99%20187-4%20%EC%98%88%EC%84%B1%EC%9C%A0%ED%86%A0%ED%94%BC%EC%95%84" TargetMode="External"/><Relationship Id="rId276" Type="http://schemas.openxmlformats.org/officeDocument/2006/relationships/hyperlink" Target="https://map.naver.com/v5/search/%EC%9D%B8%EC%B2%9C%EA%B4%91%EC%97%AD%EC%8B%9C%20%EB%82%A8%EB%8F%99%EA%B5%AC%20%EA%B5%AC%EC%9B%94%EB%8F%99%201132-1" TargetMode="External"/><Relationship Id="rId441" Type="http://schemas.openxmlformats.org/officeDocument/2006/relationships/hyperlink" Target="https://map.naver.com/v5/search/%EA%B4%B4%EC%95%88%EB%8F%99%20127-1" TargetMode="External"/><Relationship Id="rId483" Type="http://schemas.openxmlformats.org/officeDocument/2006/relationships/hyperlink" Target="https://map.naver.com/v5/search/%EC%9D%80%ED%8F%89%EA%B5%AC%20%EB%B6%88%EA%B4%91%EB%8F%99%20316-3" TargetMode="External"/><Relationship Id="rId539" Type="http://schemas.openxmlformats.org/officeDocument/2006/relationships/hyperlink" Target="https://map.naver.com/v5/search/%ED%99%94%EC%84%B1%EC%8B%9C%20%EC%A7%84%EC%95%88%EB%8F%99%20913" TargetMode="External"/><Relationship Id="rId40" Type="http://schemas.openxmlformats.org/officeDocument/2006/relationships/hyperlink" Target="https://map.naver.com/v5/search/%EB%85%B8%EC%9B%90%EA%B5%AC%20%EC%9B%94%EA%B3%84%EB%8F%99%2021-17" TargetMode="External"/><Relationship Id="rId136" Type="http://schemas.openxmlformats.org/officeDocument/2006/relationships/hyperlink" Target="https://map.naver.com/v5/search/%EC%84%9C%EC%9A%B8%20%EA%B5%AC%EB%A1%9C%EA%B5%AC%20%EC%98%A4%EB%A5%98%EB%8F%99%2077-1" TargetMode="External"/><Relationship Id="rId178" Type="http://schemas.openxmlformats.org/officeDocument/2006/relationships/hyperlink" Target="https://map.naver.com/v5/search/%EC%A4%91%EB%9E%91%EA%B5%AC%20%EB%A9%B4%EB%AA%A9%EB%8F%99%20497-7" TargetMode="External"/><Relationship Id="rId301" Type="http://schemas.openxmlformats.org/officeDocument/2006/relationships/hyperlink" Target="https://map.naver.com/v5/search/%EC%86%A1%ED%8C%8C%EA%B5%AC%20%EC%9E%A5%EC%A7%80%EB%8F%99%20883" TargetMode="External"/><Relationship Id="rId343" Type="http://schemas.openxmlformats.org/officeDocument/2006/relationships/hyperlink" Target="https://map.naver.com/v5/search/%EC%98%81%EB%93%B1%ED%8F%AC%EA%B5%AC%20%EC%98%81%EB%93%B1%ED%8F%AC%EB%8F%994%EA%B0%80%2075-3" TargetMode="External"/><Relationship Id="rId550" Type="http://schemas.openxmlformats.org/officeDocument/2006/relationships/hyperlink" Target="https://map.naver.com/v5/search/%EC%84%9C%EB%8C%80%EB%AC%B8%EA%B5%AC%20%EC%97%B0%ED%9D%AC%EB%8F%99%20121-14" TargetMode="External"/><Relationship Id="rId82" Type="http://schemas.openxmlformats.org/officeDocument/2006/relationships/hyperlink" Target="https://map.naver.com/?query=%EC%84%9C%EC%9A%B8%20%EB%A7%88%ED%8F%AC%EA%B5%AC%20%EC%9A%A9%EA%B0%95%EB%8F%99%20116-1%22,%22%EC%A7%80%EB%8F%84" TargetMode="External"/><Relationship Id="rId203" Type="http://schemas.openxmlformats.org/officeDocument/2006/relationships/hyperlink" Target="https://map.naver.com/v5/search/%EC%9D%B8%EC%B2%9C%EA%B4%91%EC%97%AD%EC%8B%9C%20%EC%84%9C%EA%B5%AC%20%EA%B0%80%EC%A0%95%EB%8F%99%20645-6" TargetMode="External"/><Relationship Id="rId385" Type="http://schemas.openxmlformats.org/officeDocument/2006/relationships/hyperlink" Target="https://map.naver.com/v5/search/%EA%B3%A0%EC%96%91%EC%8B%9C%20%EB%8D%95%EC%96%91%EA%B5%AC%20%ED%96%89%EC%8B%A0%EB%8F%99%20707-1" TargetMode="External"/><Relationship Id="rId592" Type="http://schemas.openxmlformats.org/officeDocument/2006/relationships/hyperlink" Target="https://map.naver.com/v5/search/%EB%A7%88%ED%8F%AC%EA%B5%AC%20%EC%84%B1%EC%82%B0%EB%8F%99%20263-4" TargetMode="External"/><Relationship Id="rId606" Type="http://schemas.openxmlformats.org/officeDocument/2006/relationships/hyperlink" Target="https://map.naver.com/v5/search/%EB%B6%80%EC%B2%9C%20%EC%A4%91%EB%8F%99%201140-4" TargetMode="External"/><Relationship Id="rId245" Type="http://schemas.openxmlformats.org/officeDocument/2006/relationships/hyperlink" Target="https://map.naver.com/v5/search/%EA%B0%95%EB%82%A8%EA%B5%AC%20%EC%B2%AD%EB%8B%B4%EB%8F%99%2020-12" TargetMode="External"/><Relationship Id="rId287" Type="http://schemas.openxmlformats.org/officeDocument/2006/relationships/hyperlink" Target="https://map.naver.com/v5/search/%EA%B4%91%EC%A7%84%EA%B5%AC%20%EC%9E%90%EC%96%91%EB%8F%99%20250-10" TargetMode="External"/><Relationship Id="rId410" Type="http://schemas.openxmlformats.org/officeDocument/2006/relationships/hyperlink" Target="https://map.naver.com/v5/search/%EA%B0%95%EB%82%A8%EA%B5%AC%20%EC%8B%A0%EC%82%AC%EB%8F%99%20514-22" TargetMode="External"/><Relationship Id="rId452" Type="http://schemas.openxmlformats.org/officeDocument/2006/relationships/hyperlink" Target="https://map.naver.com/v5/search/%EC%9D%80%ED%8F%89%EA%B5%AC%20%EB%85%B9%EB%B2%88%EB%8F%99%20161-5" TargetMode="External"/><Relationship Id="rId494" Type="http://schemas.openxmlformats.org/officeDocument/2006/relationships/hyperlink" Target="https://map.naver.com/v5/search/%EA%B2%BD%EA%B8%B0%20%EA%B5%B0%ED%8F%AC%EC%8B%9C%20%EC%82%B0%EB%B3%B8%EB%8F%99%201129-2" TargetMode="External"/><Relationship Id="rId508" Type="http://schemas.openxmlformats.org/officeDocument/2006/relationships/hyperlink" Target="https://map.naver.com/v5/search/%EC%9D%80%ED%8F%89%EA%B5%AC%20%EC%9D%91%EC%95%94%EB%8F%99%20110-4" TargetMode="External"/><Relationship Id="rId105" Type="http://schemas.openxmlformats.org/officeDocument/2006/relationships/hyperlink" Target="https://map.naver.com/v5/search/%EC%84%B1%EB%82%A8%EC%8B%9C%20%EC%88%98%EC%A0%95%EA%B5%AC%20%EC%B0%BD%EA%B3%A1%EB%8F%99%20555-10" TargetMode="External"/><Relationship Id="rId147" Type="http://schemas.openxmlformats.org/officeDocument/2006/relationships/hyperlink" Target="https://map.naver.com/p/search/%EA%B2%BD%EA%B8%B0%EB%8F%84%20%EC%95%88%EC%82%B0%EC%8B%9C%20%EB%8B%A8%EC%9B%90%EA%B5%AC%20%EC%8B%A0%EA%B8%B8%EB%8F%99%201633%22,%22%EC%A7%80%EB%8F%84" TargetMode="External"/><Relationship Id="rId312" Type="http://schemas.openxmlformats.org/officeDocument/2006/relationships/hyperlink" Target="https://map.naver.com/v5/search/%EC%9D%B8%EC%B2%9C%EA%B4%91%EC%97%AD%EC%8B%9C%20%EC%84%9C%EA%B5%AC%20%EA%B0%80%EC%A0%95%EB%8F%99%20611-23" TargetMode="External"/><Relationship Id="rId354" Type="http://schemas.openxmlformats.org/officeDocument/2006/relationships/hyperlink" Target="https://map.naver.com/v5/search/%EC%98%81%EB%93%B1%ED%8F%AC%EA%B5%AC%20%EC%98%81%EB%93%B1%ED%8F%AC%EB%8F%99%20618-195" TargetMode="External"/><Relationship Id="rId51" Type="http://schemas.openxmlformats.org/officeDocument/2006/relationships/hyperlink" Target="https://map.naver.com/v5/search/%EA%B0%95%EB%8F%99%EA%B5%AC%20%EA%B8%B8%EB%8F%99%20320-4" TargetMode="External"/><Relationship Id="rId93" Type="http://schemas.openxmlformats.org/officeDocument/2006/relationships/hyperlink" Target="https://map.naver.com/v5/search/%EC%84%B1%EB%82%A8%EC%8B%9C%20%EC%88%98%EC%A0%95%EA%B5%AC%20%EC%B0%BD%EA%B3%A1%EB%8F%99%20547-10" TargetMode="External"/><Relationship Id="rId189" Type="http://schemas.openxmlformats.org/officeDocument/2006/relationships/hyperlink" Target="https://map.naver.com/v5/search/%EC%9D%B8%EC%B2%9C%EA%B4%91%EC%97%AD%EC%8B%9C%20%EB%AF%B8%EC%B6%94%ED%99%80%EA%B5%AC%20%EC%A3%BC%EC%95%88%EB%8F%99%201007-6" TargetMode="External"/><Relationship Id="rId396" Type="http://schemas.openxmlformats.org/officeDocument/2006/relationships/hyperlink" Target="https://map.naver.com/v5/search/%EC%96%91%EC%B2%9C%EA%B5%AC%20%EB%AA%A9%EB%8F%99%20406-271" TargetMode="External"/><Relationship Id="rId561" Type="http://schemas.openxmlformats.org/officeDocument/2006/relationships/hyperlink" Target="https://map.naver.com/v5/search/%EB%A7%88%ED%8F%AC%EA%B5%AC%20%EB%A7%9D%EC%9B%90%EB%8F%99%20453-39" TargetMode="External"/><Relationship Id="rId617" Type="http://schemas.openxmlformats.org/officeDocument/2006/relationships/hyperlink" Target="https://map.naver.com/v5/search/%EA%B0%95%EB%82%A8%EA%B5%AC%20%EB%8C%80%EC%B9%98%EB%8F%99%20932-4" TargetMode="External"/><Relationship Id="rId214" Type="http://schemas.openxmlformats.org/officeDocument/2006/relationships/hyperlink" Target="https://map.naver.com/v5/search/%EA%B3%A0%EC%96%91%EC%8B%9C%20%EB%8D%95%EC%96%91%EA%B5%AC%20%ED%99%94%EC%8B%A0%EB%A1%9C%20267" TargetMode="External"/><Relationship Id="rId256" Type="http://schemas.openxmlformats.org/officeDocument/2006/relationships/hyperlink" Target="https://map.naver.com/v5/search/%EA%B0%95%EB%82%A8%EA%B5%AC%20%EB%85%BC%ED%98%84%EB%8F%99%2095-22" TargetMode="External"/><Relationship Id="rId298" Type="http://schemas.openxmlformats.org/officeDocument/2006/relationships/hyperlink" Target="https://map.naver.com/v5/search/%EA%B0%95%EB%82%A8%EA%B5%AC%20%EC%B2%AD%EB%8B%B4%EB%8F%99%2021-7" TargetMode="External"/><Relationship Id="rId421" Type="http://schemas.openxmlformats.org/officeDocument/2006/relationships/hyperlink" Target="https://map.naver.com/v5/search/%EA%B4%80%EC%95%85%EA%B5%AC%20%EC%8B%A0%EB%A6%BC%EB%8F%99%20517-50" TargetMode="External"/><Relationship Id="rId463" Type="http://schemas.openxmlformats.org/officeDocument/2006/relationships/hyperlink" Target="https://map.naver.com/v5/search/%EC%9D%80%ED%8F%89%EA%B5%AC%20%EA%B0%88%ED%98%84%EB%8F%99%20401-2" TargetMode="External"/><Relationship Id="rId519" Type="http://schemas.openxmlformats.org/officeDocument/2006/relationships/hyperlink" Target="https://map.naver.com/v5/search/%EC%9D%B8%EC%B2%9C%20%EC%84%9C%EA%B5%AC%20%EC%8B%AC%EA%B3%A1%EB%8F%99%20280-4" TargetMode="External"/><Relationship Id="rId116" Type="http://schemas.openxmlformats.org/officeDocument/2006/relationships/hyperlink" Target="https://map.naver.com/v5/search/%EC%84%9C%EC%B4%88%EA%B5%AC%20%EC%84%9C%EC%B4%88%EB%8F%99%201626-1" TargetMode="External"/><Relationship Id="rId158" Type="http://schemas.openxmlformats.org/officeDocument/2006/relationships/hyperlink" Target="https://map.naver.com/v5/search/%EC%95%88%EC%96%91%EC%8B%9C%20%EB%8F%99%EC%95%88%EA%B5%AC%20%EB%B9%84%EC%82%B0%EB%8F%99%20547-16" TargetMode="External"/><Relationship Id="rId323" Type="http://schemas.openxmlformats.org/officeDocument/2006/relationships/hyperlink" Target="https://map.naver.com/v5/search/%EA%B0%95%EB%82%A8%EA%B5%AC%20%EC%97%AD%EC%82%BC%EB%8F%99%20830-38" TargetMode="External"/><Relationship Id="rId530" Type="http://schemas.openxmlformats.org/officeDocument/2006/relationships/hyperlink" Target="https://map.naver.com/v5/search/%EC%9D%B8%EC%B2%9C%20%EA%B3%84%EC%96%91%EA%B5%AC%20%EC%9A%A9%EC%A2%85%EB%8F%99%20211-6" TargetMode="External"/><Relationship Id="rId20" Type="http://schemas.openxmlformats.org/officeDocument/2006/relationships/hyperlink" Target="https://map.naver.com/v5/search/%EC%84%9C%EC%B4%88%EA%B5%AC%20%EC%84%9C%EC%B4%88%EB%8F%99%201659-18" TargetMode="External"/><Relationship Id="rId62" Type="http://schemas.openxmlformats.org/officeDocument/2006/relationships/hyperlink" Target="https://map.naver.com/p/search/%EA%B0%95%EB%82%A8%EA%B5%AC%20%EC%82%BC%EC%84%B1%EB%8F%99%20141-19" TargetMode="External"/><Relationship Id="rId365" Type="http://schemas.openxmlformats.org/officeDocument/2006/relationships/hyperlink" Target="https://map.naver.com/v5/search/%EC%95%88%EC%82%B0%EC%8B%9C%20%EC%83%81%EB%A1%9D%EA%B5%AC%20%EB%B3%B8%EC%98%A4%EB%8F%99%20880-11" TargetMode="External"/><Relationship Id="rId572" Type="http://schemas.openxmlformats.org/officeDocument/2006/relationships/hyperlink" Target="https://map.naver.com/v5/search/%EC%9D%80%ED%8F%89%EA%B5%AC%20%EC%9D%91%EC%95%94%EB%8F%99%20577-30" TargetMode="External"/><Relationship Id="rId628" Type="http://schemas.openxmlformats.org/officeDocument/2006/relationships/hyperlink" Target="https://map.naver.com/p/search/&#50668;&#51032;&#46020;&#46041;%2023-10" TargetMode="External"/><Relationship Id="rId225" Type="http://schemas.openxmlformats.org/officeDocument/2006/relationships/hyperlink" Target="https://map.naver.com/v5/search/%EC%84%9C%EC%B4%88%EA%B5%AC%20%EC%84%9C%EC%B4%88%EB%8F%99%201557-22" TargetMode="External"/><Relationship Id="rId267" Type="http://schemas.openxmlformats.org/officeDocument/2006/relationships/hyperlink" Target="https://map.naver.com/v5/search/%EC%9D%B8%EC%B2%9C%EA%B4%91%EC%97%AD%EC%8B%9C%20%EB%82%A8%EB%8F%99%EA%B5%AC%20%EA%B5%AC%EC%9B%94%EB%8F%99%201142-20" TargetMode="External"/><Relationship Id="rId432" Type="http://schemas.openxmlformats.org/officeDocument/2006/relationships/hyperlink" Target="https://map.naver.com/v5/search/%ED%95%98%EB%8C%80%EC%9B%90%EB%8F%99%20100-11" TargetMode="External"/><Relationship Id="rId474" Type="http://schemas.openxmlformats.org/officeDocument/2006/relationships/hyperlink" Target="https://map.naver.com/v5/search/%EC%9D%80%ED%8F%89%EA%B5%AC%20%EA%B0%88%ED%98%84%EB%8F%99%20456-24" TargetMode="External"/><Relationship Id="rId127" Type="http://schemas.openxmlformats.org/officeDocument/2006/relationships/hyperlink" Target="https://map.naver.com/v5/search/%EC%84%9C%EC%B4%88%EA%B5%AC%20%EC%84%9C%EC%B4%88%EB%8F%99%201624-9" TargetMode="External"/><Relationship Id="rId31" Type="http://schemas.openxmlformats.org/officeDocument/2006/relationships/hyperlink" Target="https://map.naver.com/v5/search/%EA%B5%AC%EB%A1%9C%EA%B5%AC%20%EA%B5%AC%EB%A1%9C%EB%8F%99%201124-83" TargetMode="External"/><Relationship Id="rId73" Type="http://schemas.openxmlformats.org/officeDocument/2006/relationships/hyperlink" Target="https://map.naver.com/p/search/%EB%A7%88%ED%8F%AC%EA%B5%AC%20%EC%83%81%EC%95%94%EB%8F%99%2033-1" TargetMode="External"/><Relationship Id="rId169" Type="http://schemas.openxmlformats.org/officeDocument/2006/relationships/hyperlink" Target="https://map.naver.com/v5/search/%EC%95%88%EC%96%91%EC%8B%9C%20%EB%8F%99%EC%95%88%EA%B5%AC%20%ED%8F%89%EC%B4%8C%EB%8F%99%20900-9" TargetMode="External"/><Relationship Id="rId334" Type="http://schemas.openxmlformats.org/officeDocument/2006/relationships/hyperlink" Target="https://map.naver.com/v5/search/%EC%9D%B8%EC%B2%9C%EA%B4%91%EC%97%AD%EC%8B%9C%20%EC%A4%91%EA%B5%AC%20%EC%8B%A0%ED%8F%AC%EB%8F%99%2020-8" TargetMode="External"/><Relationship Id="rId376" Type="http://schemas.openxmlformats.org/officeDocument/2006/relationships/hyperlink" Target="https://map.naver.com/v5/search/%EC%9D%B8%EC%B2%9C%EA%B4%91%EC%97%AD%EC%8B%9C%20%EC%84%9C%EA%B5%AC%20%EA%B0%80%EC%A0%95%EB%8F%99%20616-3" TargetMode="External"/><Relationship Id="rId541" Type="http://schemas.openxmlformats.org/officeDocument/2006/relationships/hyperlink" Target="https://map.naver.com/v5/search/%EA%B0%95%EB%8F%99%EA%B5%AC%20%EB%91%94%EC%B4%8C%EB%8F%99%20105-10" TargetMode="External"/><Relationship Id="rId583" Type="http://schemas.openxmlformats.org/officeDocument/2006/relationships/hyperlink" Target="https://map.naver.com/v5/search/%EC%9D%80%ED%8F%89%EA%B5%AC%20%EA%B5%AC%EC%82%B0%EB%8F%99%201-24" TargetMode="External"/><Relationship Id="rId4" Type="http://schemas.openxmlformats.org/officeDocument/2006/relationships/hyperlink" Target="https://map.naver.com/v5/search/%EC%9A%A9%EC%9D%B8%EC%8B%9C%20%EC%B2%98%EC%9D%B8%EA%B5%AC%20%EB%82%A8%EB%8F%99%2027-2" TargetMode="External"/><Relationship Id="rId180" Type="http://schemas.openxmlformats.org/officeDocument/2006/relationships/hyperlink" Target="https://map.naver.com/v5/search/%EC%9D%B8%EC%B2%9C%EA%B4%91%EC%97%AD%EC%8B%9C%20%EB%AF%B8%EC%B6%94%ED%99%80%EA%B5%AC%20%EC%A3%BC%EC%95%88%EB%8F%99%20186-11" TargetMode="External"/><Relationship Id="rId236" Type="http://schemas.openxmlformats.org/officeDocument/2006/relationships/hyperlink" Target="https://map.naver.com/v5/search/%EC%84%9C%EC%B4%88%EA%B5%AC%20%EC%84%9C%EC%B4%88%EB%8F%99%201567-8" TargetMode="External"/><Relationship Id="rId278" Type="http://schemas.openxmlformats.org/officeDocument/2006/relationships/hyperlink" Target="https://map.naver.com/v5/search/%EC%95%88%EC%82%B0%EC%8B%9C%20%EC%83%81%EB%A1%9D%EA%B5%AC%20%EC%9D%B4%EB%8F%99%20661-4" TargetMode="External"/><Relationship Id="rId401" Type="http://schemas.openxmlformats.org/officeDocument/2006/relationships/hyperlink" Target="https://map.naver.com/v5/search/%EC%A2%85%EB%A1%9C%EA%B5%AC%20%EC%B2%AD%EC%A7%84%EB%8F%99%2070" TargetMode="External"/><Relationship Id="rId443" Type="http://schemas.openxmlformats.org/officeDocument/2006/relationships/hyperlink" Target="https://map.naver.com/v5/search/%EA%B0%95%EB%82%A8%EA%B5%AC%20%EC%97%AD%EC%82%BC%EB%8F%99%20823-10" TargetMode="External"/><Relationship Id="rId303" Type="http://schemas.openxmlformats.org/officeDocument/2006/relationships/hyperlink" Target="https://map.naver.com/v5/search/%EC%84%9C%EC%B4%88%EA%B5%AC%20%EC%84%9C%EC%B4%88%EB%8F%99%201574-15" TargetMode="External"/><Relationship Id="rId485" Type="http://schemas.openxmlformats.org/officeDocument/2006/relationships/hyperlink" Target="https://map.naver.com/v5/search/%EC%9D%80%ED%8F%89%EA%B5%AC%20%EA%B0%88%ED%98%84%EB%8F%99%20456-1" TargetMode="External"/><Relationship Id="rId42" Type="http://schemas.openxmlformats.org/officeDocument/2006/relationships/hyperlink" Target="https://map.naver.com/v5/search/%EB%85%B8%EC%9B%90%EA%B5%AC%20%EC%9B%94%EA%B3%84%EB%8F%99%20469-3" TargetMode="External"/><Relationship Id="rId84" Type="http://schemas.openxmlformats.org/officeDocument/2006/relationships/hyperlink" Target="https://map.naver.com/v5/search/%EC%84%B1%EB%82%A8%EC%8B%9C%20%EC%88%98%EC%A0%95%EA%B5%AC%20%EC%B0%BD%EA%B3%A1%EB%8F%99%20539-7" TargetMode="External"/><Relationship Id="rId138" Type="http://schemas.openxmlformats.org/officeDocument/2006/relationships/hyperlink" Target="https://map.naver.com/v5/search/%EA%B2%BD%EA%B8%B0%EB%8F%84%20%EC%8B%9C%ED%9D%A5%EC%8B%9C%20%EC%A0%95%EC%99%95%EB%8F%99%201622-2" TargetMode="External"/><Relationship Id="rId345" Type="http://schemas.openxmlformats.org/officeDocument/2006/relationships/hyperlink" Target="https://map.naver.com/v5/search/%EC%98%81%EB%93%B1%ED%8F%AC%EA%B5%AC%20%EC%96%91%ED%8F%89%EB%8F%995%EA%B0%80%2067" TargetMode="External"/><Relationship Id="rId387" Type="http://schemas.openxmlformats.org/officeDocument/2006/relationships/hyperlink" Target="https://map.naver.com/v5/search/%EA%B3%A0%EC%96%91%EC%8B%9C%20%EB%8D%95%EC%96%91%EA%B5%AC%20%ED%96%89%EC%8B%A0%EB%8F%99%20706-1" TargetMode="External"/><Relationship Id="rId510" Type="http://schemas.openxmlformats.org/officeDocument/2006/relationships/hyperlink" Target="https://map.naver.com/v5/search/%EC%9D%80%ED%8F%89%EA%B5%AC%20%EC%9D%91%EC%95%94%EB%8F%99%20578-21" TargetMode="External"/><Relationship Id="rId552" Type="http://schemas.openxmlformats.org/officeDocument/2006/relationships/hyperlink" Target="https://map.naver.com/v5/search/%EC%84%9C%EB%8C%80%EB%AC%B8%EA%B5%AC%20%EC%97%B0%ED%9D%AC%EB%8F%99%2078-20" TargetMode="External"/><Relationship Id="rId594" Type="http://schemas.openxmlformats.org/officeDocument/2006/relationships/hyperlink" Target="https://map.naver.com/v5/search/%EB%A7%88%ED%8F%AC%EA%B5%AC%20%EB%A7%9D%EC%9B%90%EB%8F%99%20379-7" TargetMode="External"/><Relationship Id="rId608" Type="http://schemas.openxmlformats.org/officeDocument/2006/relationships/hyperlink" Target="https://map.naver.com/v5/search/%EA%B9%80%ED%8F%AC%20%EC%9E%A5%EA%B8%B0%EB%8F%99%201911-4" TargetMode="External"/><Relationship Id="rId191" Type="http://schemas.openxmlformats.org/officeDocument/2006/relationships/hyperlink" Target="https://map.naver.com/v5/search/%EC%9D%B8%EC%B2%9C%EA%B4%91%EC%97%AD%EC%8B%9C%20%EB%AF%B8%EC%B6%94%ED%99%80%EA%B5%AC%20%EC%A3%BC%EC%95%88%EB%8F%99%20954-1" TargetMode="External"/><Relationship Id="rId205" Type="http://schemas.openxmlformats.org/officeDocument/2006/relationships/hyperlink" Target="https://map.naver.com/v5/search/%EC%A4%91%EB%9E%91%EA%B5%AC%20%EC%83%81%EB%B4%89%EB%8F%99%20116-4" TargetMode="External"/><Relationship Id="rId247" Type="http://schemas.openxmlformats.org/officeDocument/2006/relationships/hyperlink" Target="https://map.naver.com/v5/search/%EA%B0%95%EB%82%A8%EA%B5%AC%20%EC%B2%AD%EB%8B%B4%EB%8F%99%201-9" TargetMode="External"/><Relationship Id="rId412" Type="http://schemas.openxmlformats.org/officeDocument/2006/relationships/hyperlink" Target="https://map.naver.com/v5/search/%EA%B0%95%EB%82%A8%EA%B5%AC%20%EC%8B%A0%EC%82%AC%EB%8F%99%20655-4" TargetMode="External"/><Relationship Id="rId107" Type="http://schemas.openxmlformats.org/officeDocument/2006/relationships/hyperlink" Target="https://map.naver.com/v5/search/%EC%86%A1%ED%8C%8C%EA%B5%AC%20%EB%AC%B8%EC%A0%95%EB%8F%99%20651" TargetMode="External"/><Relationship Id="rId289" Type="http://schemas.openxmlformats.org/officeDocument/2006/relationships/hyperlink" Target="https://map.naver.com/v5/search/%EA%B0%95%EB%82%A8%EA%B5%AC%20%EB%8F%84%EA%B3%A1%EB%8F%99%20412-7" TargetMode="External"/><Relationship Id="rId454" Type="http://schemas.openxmlformats.org/officeDocument/2006/relationships/hyperlink" Target="https://map.naver.com/v5/search/%EC%9D%80%ED%8F%89%EA%B5%AC%20%EA%B0%88%ED%98%84%EB%8F%99%20549" TargetMode="External"/><Relationship Id="rId496" Type="http://schemas.openxmlformats.org/officeDocument/2006/relationships/hyperlink" Target="https://map.naver.com/v5/search/%EC%9D%80%ED%8F%89%EA%B5%AC%20%EA%B0%88%ED%98%84%EB%8F%99%20393-8" TargetMode="External"/><Relationship Id="rId11" Type="http://schemas.openxmlformats.org/officeDocument/2006/relationships/hyperlink" Target="https://map.naver.com/v5/search/%EA%B2%BD%EA%B8%B0%20%ED%95%98%EB%82%A8%EC%8B%9C%20%EB%A7%9D%EC%9B%94%EB%8F%99%201119-1" TargetMode="External"/><Relationship Id="rId53" Type="http://schemas.openxmlformats.org/officeDocument/2006/relationships/hyperlink" Target="https://map.naver.com/p/search/%EA%B0%95%EB%8F%99%EA%B5%AC%20%EA%B8%B8%EB%8F%99%20347-12" TargetMode="External"/><Relationship Id="rId149" Type="http://schemas.openxmlformats.org/officeDocument/2006/relationships/hyperlink" Target="https://map.naver.com/p/search/%EC%84%9C%EC%9A%B8%20%EA%B4%91%EC%A7%84%EA%B5%AC%20%EC%9E%90%EC%96%91%EB%8F%99%20794%22,%22%EC%A7%80%EB%8F%84" TargetMode="External"/><Relationship Id="rId314" Type="http://schemas.openxmlformats.org/officeDocument/2006/relationships/hyperlink" Target="https://map.naver.com/v5/search/%EC%9D%B8%EC%B2%9C%EA%B4%91%EC%97%AD%EC%8B%9C%20%EC%84%9C%EA%B5%AC%20%EA%B0%80%EC%A0%95%EB%8F%99%20492" TargetMode="External"/><Relationship Id="rId356" Type="http://schemas.openxmlformats.org/officeDocument/2006/relationships/hyperlink" Target="https://map.naver.com/v5/search/%EC%98%81%EB%93%B1%ED%8F%AC%EA%B5%AC%20%EC%98%81%EB%93%B1%ED%8F%AC%EB%8F%993%EA%B0%802" TargetMode="External"/><Relationship Id="rId398" Type="http://schemas.openxmlformats.org/officeDocument/2006/relationships/hyperlink" Target="https://map.naver.com/v5/search/%EC%84%9C%EC%9A%B8%ED%8A%B9%EB%B3%84%EC%8B%9C%20%EC%98%81%EB%93%B1%ED%8F%AC%EA%B5%AC%20%EC%8B%A0%EA%B8%B8%EB%A1%9C%2036" TargetMode="External"/><Relationship Id="rId521" Type="http://schemas.openxmlformats.org/officeDocument/2006/relationships/hyperlink" Target="https://map.naver.com/v5/search/%EC%9D%B8%EC%B2%9C%20%EB%B6%80%ED%8F%89%EA%B5%AC%20%EC%B2%AD%EC%B2%9C%EB%8F%99%20191-33" TargetMode="External"/><Relationship Id="rId563" Type="http://schemas.openxmlformats.org/officeDocument/2006/relationships/hyperlink" Target="https://map.naver.com/v5/search/%EC%9D%80%ED%8F%89%EA%B5%AC%20%EC%9D%91%EC%95%94%EB%8F%99%20584-37" TargetMode="External"/><Relationship Id="rId619" Type="http://schemas.openxmlformats.org/officeDocument/2006/relationships/hyperlink" Target="https://map.naver.com/v5/search/%EA%B0%95%EB%82%A8%EA%B5%AC%20%EB%8C%80%EC%B9%98%EB%8F%99%201019-13" TargetMode="External"/><Relationship Id="rId95" Type="http://schemas.openxmlformats.org/officeDocument/2006/relationships/hyperlink" Target="https://map.naver.com/v5/search/%EA%B0%95%EB%82%A8%EA%B5%AC%20%EC%97%AD%EC%82%BC%EB%8F%99%20668-24" TargetMode="External"/><Relationship Id="rId160" Type="http://schemas.openxmlformats.org/officeDocument/2006/relationships/hyperlink" Target="https://map.naver.com/v5/search/%EC%95%88%EC%96%91%EC%8B%9C%20%EB%8F%99%EC%95%88%EA%B5%AC%20%ED%98%B8%EA%B3%84%EB%8F%99%201048-3" TargetMode="External"/><Relationship Id="rId216" Type="http://schemas.openxmlformats.org/officeDocument/2006/relationships/hyperlink" Target="https://map.naver.com/v5/search/%EC%9A%A9%EC%9D%B8%EC%8B%9C%20%EC%88%98%EC%A7%80%EA%B5%AC%20%EC%83%81%ED%98%84%EB%8F%99%201132" TargetMode="External"/><Relationship Id="rId423" Type="http://schemas.openxmlformats.org/officeDocument/2006/relationships/hyperlink" Target="https://map.naver.com/v5/search/%EC%98%81%EB%93%B1%ED%8F%AC%EA%B5%AC%20%EC%8B%A0%EA%B8%B8%EB%8F%99%20425-3" TargetMode="External"/><Relationship Id="rId258" Type="http://schemas.openxmlformats.org/officeDocument/2006/relationships/hyperlink" Target="https://map.naver.com/v5/search/%EC%9D%B8%EC%B2%9C%EA%B4%91%EC%97%AD%EC%8B%9C%20%EC%97%B0%EC%88%98%EA%B5%AC%20%EC%97%B0%EC%88%98%EB%8F%99%20598-12" TargetMode="External"/><Relationship Id="rId465" Type="http://schemas.openxmlformats.org/officeDocument/2006/relationships/hyperlink" Target="https://map.naver.com/v5/search/%EC%9D%80%ED%8F%89%EA%B5%AC%20%EA%B0%88%ED%98%84%EB%8F%99%20453-10" TargetMode="External"/><Relationship Id="rId630" Type="http://schemas.openxmlformats.org/officeDocument/2006/relationships/table" Target="../tables/table2.xml"/><Relationship Id="rId22" Type="http://schemas.openxmlformats.org/officeDocument/2006/relationships/hyperlink" Target="https://map.naver.com/v5/search/%EA%B3%BC%EC%B2%9C%EC%8B%9C%20%EA%B0%88%ED%98%84%EB%8F%99%20427-1" TargetMode="External"/><Relationship Id="rId64" Type="http://schemas.openxmlformats.org/officeDocument/2006/relationships/hyperlink" Target="https://map.naver.com/p/search/%EC%98%81%ED%86%B5%EA%B5%AC%20%EC%98%81%ED%86%B5%EB%8F%99%201024-8" TargetMode="External"/><Relationship Id="rId118" Type="http://schemas.openxmlformats.org/officeDocument/2006/relationships/hyperlink" Target="https://map.naver.com/v5/search/%EC%84%9C%EC%B4%88%EA%B5%AC%20%EC%84%9C%EC%B4%88%EB%8F%99%201567-8" TargetMode="External"/><Relationship Id="rId325" Type="http://schemas.openxmlformats.org/officeDocument/2006/relationships/hyperlink" Target="https://map.naver.com/v5/search/%EC%95%88%EC%82%B0%EC%8B%9C%20%EC%83%81%EB%A1%9D%EA%B5%AC%20%EC%9D%B4%EB%8F%99%20694-1" TargetMode="External"/><Relationship Id="rId367" Type="http://schemas.openxmlformats.org/officeDocument/2006/relationships/hyperlink" Target="https://map.naver.com/v5/search/%EC%95%88%EC%82%B0%EC%8B%9C%20%EC%83%81%EB%A1%9D%EA%B5%AC%20%EC%82%AC%EB%8F%99%201191" TargetMode="External"/><Relationship Id="rId532" Type="http://schemas.openxmlformats.org/officeDocument/2006/relationships/hyperlink" Target="https://map.naver.com/v5/search/%EC%9D%B8%EC%B2%9C%20%EA%B3%84%EC%96%91%EA%B5%AC%20%EA%B3%84%EC%82%B0%EB%8F%99%201081-10" TargetMode="External"/><Relationship Id="rId574" Type="http://schemas.openxmlformats.org/officeDocument/2006/relationships/hyperlink" Target="https://map.naver.com/v5/search/%EC%9D%80%ED%8F%89%EA%B5%AC%20%EC%8B%A0%EC%82%AC%EB%8F%99%2035-20" TargetMode="External"/><Relationship Id="rId171" Type="http://schemas.openxmlformats.org/officeDocument/2006/relationships/hyperlink" Target="https://map.naver.com/v5/search/%EC%84%9C%EC%B4%88%EA%B5%AC%20%EC%84%9C%EC%B4%88%EB%8F%99%201671-2" TargetMode="External"/><Relationship Id="rId227" Type="http://schemas.openxmlformats.org/officeDocument/2006/relationships/hyperlink" Target="https://map.naver.com/v5/search/%EC%84%9C%EC%B4%88%EA%B5%AC%20%EC%84%9C%EC%B4%88%EB%8F%99%201567-10" TargetMode="External"/><Relationship Id="rId269" Type="http://schemas.openxmlformats.org/officeDocument/2006/relationships/hyperlink" Target="https://map.naver.com/v5/search/%EC%9D%B8%EC%B2%9C%EA%B4%91%EC%97%AD%EC%8B%9C%20%EC%84%9C%EA%B5%AC%20%EA%B0%80%EC%A0%95%EB%8F%99%20492" TargetMode="External"/><Relationship Id="rId434" Type="http://schemas.openxmlformats.org/officeDocument/2006/relationships/hyperlink" Target="https://map.naver.com/v5/search/%EC%88%98%EC%A7%84%EB%8F%99%203011" TargetMode="External"/><Relationship Id="rId476" Type="http://schemas.openxmlformats.org/officeDocument/2006/relationships/hyperlink" Target="https://map.naver.com/v5/search/%EC%9D%80%ED%8F%89%EA%B5%AC%20%EA%B0%88%ED%98%84%EB%8F%99%20453-11" TargetMode="External"/><Relationship Id="rId33" Type="http://schemas.openxmlformats.org/officeDocument/2006/relationships/hyperlink" Target="https://map.naver.com/v5/search/%EA%B5%AC%EB%A1%9C%EA%B5%AC%20%EA%B5%AC%EB%A1%9C%EB%8F%99%201129-1" TargetMode="External"/><Relationship Id="rId129" Type="http://schemas.openxmlformats.org/officeDocument/2006/relationships/hyperlink" Target="https://map.naver.com/v5/search/%EC%9D%B8%EC%B2%9C%20%EC%97%B0%EC%88%98%EA%B5%AC%20%EC%86%A1%EB%8F%84%EB%8F%99%2023-4" TargetMode="External"/><Relationship Id="rId280" Type="http://schemas.openxmlformats.org/officeDocument/2006/relationships/hyperlink" Target="https://map.naver.com/v5/search/%EC%84%B1%EB%8F%99%EA%B5%AC%20%EC%84%B1%EC%88%98%EB%8F%992%EA%B0%80%20289-231" TargetMode="External"/><Relationship Id="rId336" Type="http://schemas.openxmlformats.org/officeDocument/2006/relationships/hyperlink" Target="https://map.naver.com/v5/search/%EC%9D%B8%EC%B2%9C%EA%B4%91%EC%97%AD%EC%8B%9C%20%EB%82%A8%EB%8F%99%EA%B5%AC%20%EC%84%9C%EC%B0%BD%EB%8F%99%20691-2" TargetMode="External"/><Relationship Id="rId501" Type="http://schemas.openxmlformats.org/officeDocument/2006/relationships/hyperlink" Target="https://map.naver.com/v5/search/%EC%9D%80%ED%8F%89%EA%B5%AC%20%EB%8C%80%EC%A1%B0%EB%8F%99%2048-40" TargetMode="External"/><Relationship Id="rId543" Type="http://schemas.openxmlformats.org/officeDocument/2006/relationships/hyperlink" Target="https://map.naver.com/v5/search/%ED%99%94%EC%84%B1%EC%8B%9C%20%EB%8F%99%ED%83%84%EA%B5%AC%20%EC%98%81%EC%B2%9C%EB%8F%99%20792-1" TargetMode="External"/><Relationship Id="rId75" Type="http://schemas.openxmlformats.org/officeDocument/2006/relationships/hyperlink" Target="https://map.naver.com/?query=%EC%84%9C%EC%9A%B8%20%EA%B0%95%EB%8F%99%EA%B5%AC%20%EC%84%B1%EB%82%B4%EB%8F%99%20435-37%22,%22%EC%A7%80%EB%8F%84" TargetMode="External"/><Relationship Id="rId140" Type="http://schemas.openxmlformats.org/officeDocument/2006/relationships/hyperlink" Target="https://map.naver.com/v5/search/%EA%B2%BD%EA%B8%B0%EB%8F%84%20%EC%8B%9C%ED%9D%A5%EC%8B%9C%20%EB%B0%B0%EA%B3%A7%EB%8F%99%20126" TargetMode="External"/><Relationship Id="rId182" Type="http://schemas.openxmlformats.org/officeDocument/2006/relationships/hyperlink" Target="https://map.naver.com/v5/search/%EC%9D%B8%EC%B2%9C%EA%B4%91%EC%97%AD%EC%8B%9C%20%EB%AF%B8%EC%B6%94%ED%99%80%EA%B5%AC%20%EC%A3%BC%EC%95%88%EB%8F%99%20434-2" TargetMode="External"/><Relationship Id="rId378" Type="http://schemas.openxmlformats.org/officeDocument/2006/relationships/hyperlink" Target="https://map.naver.com/v5/search/%EB%A7%88%ED%8F%AC%EA%B5%AC%20%EC%8B%A0%EA%B3%B5%EB%8D%95%EB%8F%99%2013-11" TargetMode="External"/><Relationship Id="rId403" Type="http://schemas.openxmlformats.org/officeDocument/2006/relationships/hyperlink" Target="https://map.naver.com/v5/search/%EC%A2%85%EB%A1%9C%EA%B5%AC%20%EB%8F%88%EC%9D%98%EB%8F%99%20128-2" TargetMode="External"/><Relationship Id="rId585" Type="http://schemas.openxmlformats.org/officeDocument/2006/relationships/hyperlink" Target="https://map.naver.com/v5/search/%EB%A7%88%ED%8F%AC%EA%B5%AC%20%ED%95%A9%EC%A0%95%EB%8F%99%20362-8" TargetMode="External"/><Relationship Id="rId6" Type="http://schemas.openxmlformats.org/officeDocument/2006/relationships/hyperlink" Target="https://map.naver.com/v5/search/%EC%9A%A9%EC%9D%B8%EC%8B%9C%20%EC%B2%98%EC%9D%B8%EA%B5%AC%20%EA%B9%80%EB%9F%89%EC%9E%A5%EB%8F%99%20314-7" TargetMode="External"/><Relationship Id="rId238" Type="http://schemas.openxmlformats.org/officeDocument/2006/relationships/hyperlink" Target="https://map.naver.com/v5/search/%EC%9D%B8%EC%B2%9C%EA%B4%91%EC%97%AD%EC%8B%9C%20%EC%97%B0%EC%88%98%EA%B5%AC%20%EC%86%A1%EB%8F%84%EB%8F%99%2023-4" TargetMode="External"/><Relationship Id="rId445" Type="http://schemas.openxmlformats.org/officeDocument/2006/relationships/hyperlink" Target="https://map.naver.com/v5/search/%EC%98%81%EB%93%B1%ED%8F%AC%EA%B5%AC%20%EC%97%AC%EC%9D%98%EB%8F%84%EB%8F%99%2053-3" TargetMode="External"/><Relationship Id="rId487" Type="http://schemas.openxmlformats.org/officeDocument/2006/relationships/hyperlink" Target="https://map.naver.com/v5/search/%EC%9D%80%ED%8F%89%EA%B5%AC%20%EB%8C%80%EC%A1%B0%EB%8F%99%2012-28" TargetMode="External"/><Relationship Id="rId610" Type="http://schemas.openxmlformats.org/officeDocument/2006/relationships/hyperlink" Target="https://map.naver.com/v5/search/%EC%95%88%EC%82%B0%20%EA%B3%A0%EC%9E%94%EB%8F%99%20531-2" TargetMode="External"/><Relationship Id="rId291" Type="http://schemas.openxmlformats.org/officeDocument/2006/relationships/hyperlink" Target="https://map.naver.com/v5/search/%EC%9D%B8%EC%B2%9C%EA%B4%91%EC%97%AD%EC%8B%9C%20%EB%82%A8%EB%8F%99%EA%B5%AC%20%EC%84%9C%EC%B0%BD%EB%8F%99%20707-3" TargetMode="External"/><Relationship Id="rId305" Type="http://schemas.openxmlformats.org/officeDocument/2006/relationships/hyperlink" Target="https://map.naver.com/v5/search/%ED%95%98%EB%82%A8%EC%8B%9C%20%ED%95%99%EC%95%94%EB%8F%99%20661" TargetMode="External"/><Relationship Id="rId347" Type="http://schemas.openxmlformats.org/officeDocument/2006/relationships/hyperlink" Target="https://map.naver.com/v5/search/%EA%B0%95%EB%82%A8%EA%B5%AC%20%EC%8B%A0%EC%82%AC%EB%8F%99%20660-18" TargetMode="External"/><Relationship Id="rId512" Type="http://schemas.openxmlformats.org/officeDocument/2006/relationships/hyperlink" Target="https://map.naver.com/v5/search/%EC%9D%B8%EC%B2%9C%20%EB%82%A8%EB%8F%99%EA%B5%AC%20%EA%B0%84%EC%84%9D%EB%8F%99%20915-6" TargetMode="External"/><Relationship Id="rId44" Type="http://schemas.openxmlformats.org/officeDocument/2006/relationships/hyperlink" Target="https://map.naver.com/v5/search/%EA%B4%91%EC%A7%84%EA%B5%AC%20%EC%A4%91%EA%B3%A1%EB%8F%99%2031-1" TargetMode="External"/><Relationship Id="rId86" Type="http://schemas.openxmlformats.org/officeDocument/2006/relationships/hyperlink" Target="https://map.naver.com/v5/search/%EA%B0%95%EB%82%A8%EA%B5%AC%20%EB%85%BC%ED%98%84%EB%8F%99%2088-8" TargetMode="External"/><Relationship Id="rId151" Type="http://schemas.openxmlformats.org/officeDocument/2006/relationships/hyperlink" Target="https://map.naver.com/v5/search/%EA%B4%91%EC%A7%84%EA%B5%AC%20%EC%A4%91%EA%B3%A1%EB%8F%99%2031-1" TargetMode="External"/><Relationship Id="rId389" Type="http://schemas.openxmlformats.org/officeDocument/2006/relationships/hyperlink" Target="https://map.naver.com/v5/search/%EA%B0%95%EC%84%9C%EA%B5%AC%20%EC%97%BC%EC%B0%BD%EB%8F%99%20282-26" TargetMode="External"/><Relationship Id="rId554" Type="http://schemas.openxmlformats.org/officeDocument/2006/relationships/hyperlink" Target="https://map.naver.com/v5/search/%EC%84%9C%EB%8C%80%EB%AC%B8%EA%B5%AC%20%EC%97%B0%ED%9D%AC%EB%8F%99%20287-16" TargetMode="External"/><Relationship Id="rId596" Type="http://schemas.openxmlformats.org/officeDocument/2006/relationships/hyperlink" Target="https://map.naver.com/v5/search/%EB%A7%88%ED%8F%AC%EA%B5%AC%20%ED%95%A9%EC%A0%95%EB%8F%99%20426-20" TargetMode="External"/><Relationship Id="rId193" Type="http://schemas.openxmlformats.org/officeDocument/2006/relationships/hyperlink" Target="https://map.naver.com/v5/search/%EC%9D%B8%EC%B2%9C%EA%B4%91%EC%97%AD%EC%8B%9C%20%EB%AF%B8%EC%B6%94%ED%99%80%EA%B5%AC%20%EC%A3%BC%EC%95%88%EB%8F%99%201542" TargetMode="External"/><Relationship Id="rId207" Type="http://schemas.openxmlformats.org/officeDocument/2006/relationships/hyperlink" Target="https://map.naver.com/v5/search/%EC%9A%A9%EC%9D%B8%EC%8B%9C%20%EC%88%98%EC%A7%80%EA%B5%AC%20%EC%83%81%ED%98%84%EB%8F%99%201131-3" TargetMode="External"/><Relationship Id="rId249" Type="http://schemas.openxmlformats.org/officeDocument/2006/relationships/hyperlink" Target="https://map.naver.com/v5/search/%EA%B0%95%EB%82%A8%EA%B5%AC%20%EC%B2%AD%EB%8B%B4%EB%8F%99%205-3" TargetMode="External"/><Relationship Id="rId414" Type="http://schemas.openxmlformats.org/officeDocument/2006/relationships/hyperlink" Target="https://map.naver.com/v5/search/%EA%B0%95%EB%82%A8%EA%B5%AC%20%EC%8B%A0%EC%82%AC%EB%8F%99%20642-9" TargetMode="External"/><Relationship Id="rId456" Type="http://schemas.openxmlformats.org/officeDocument/2006/relationships/hyperlink" Target="https://map.naver.com/v5/search/%EC%9D%80%ED%8F%89%EA%B5%AC%20%EC%9D%91%EC%95%94%EB%8F%99%2084-13" TargetMode="External"/><Relationship Id="rId498" Type="http://schemas.openxmlformats.org/officeDocument/2006/relationships/hyperlink" Target="https://map.naver.com/v5/search/%EC%9D%80%ED%8F%89%EA%B5%AC%20%EB%B6%88%EA%B4%91%EB%8F%99%20102-18" TargetMode="External"/><Relationship Id="rId621" Type="http://schemas.openxmlformats.org/officeDocument/2006/relationships/hyperlink" Target="https://map.naver.com/v5/search/%EA%B0%95%EB%82%A8%EA%B5%AC%20%EB%8C%80%EC%B9%98%EB%8F%99%20916-24" TargetMode="External"/><Relationship Id="rId13" Type="http://schemas.openxmlformats.org/officeDocument/2006/relationships/hyperlink" Target="https://map.naver.com/v5/search/%EA%B2%BD%EA%B8%B0%20%EC%8B%9C%ED%9D%A5%EC%8B%9C%20%EC%9E%A5%EA%B3%A1%EB%8F%99%20811-7" TargetMode="External"/><Relationship Id="rId109" Type="http://schemas.openxmlformats.org/officeDocument/2006/relationships/hyperlink" Target="https://map.naver.com/v5/search/%EA%B4%80%EC%95%85%EA%B5%AC%20%EC%8B%A0%EB%A6%BC%EB%8F%99%20116-23" TargetMode="External"/><Relationship Id="rId260" Type="http://schemas.openxmlformats.org/officeDocument/2006/relationships/hyperlink" Target="https://map.naver.com/v5/search/%EA%B0%95%EB%82%A8%EA%B5%AC%20%EC%8B%A0%EC%82%AC%EB%8F%99%20615" TargetMode="External"/><Relationship Id="rId316" Type="http://schemas.openxmlformats.org/officeDocument/2006/relationships/hyperlink" Target="https://map.naver.com/v5/search/%EA%B0%95%EB%82%A8%EA%B5%AC%20%EC%97%AD%EC%82%BC%EB%8F%99%20697-45" TargetMode="External"/><Relationship Id="rId523" Type="http://schemas.openxmlformats.org/officeDocument/2006/relationships/hyperlink" Target="https://map.naver.com/v5/search/%ED%99%94%EC%84%B1%EC%8B%9C%20%EB%B3%91%EC%A0%90%EB%8F%99%20844-2" TargetMode="External"/><Relationship Id="rId55" Type="http://schemas.openxmlformats.org/officeDocument/2006/relationships/hyperlink" Target="https://map.naver.com/p/search/%EA%B0%95%EB%8F%99%EA%B5%AC%20%EC%84%B1%EB%82%B4%EB%8F%99%20413-10" TargetMode="External"/><Relationship Id="rId97" Type="http://schemas.openxmlformats.org/officeDocument/2006/relationships/hyperlink" Target="https://map.naver.com/v5/search/%EA%B0%95%EB%82%A8%EA%B5%AC%20%EB%8F%84%EA%B3%A1%EB%8F%99%20944-9" TargetMode="External"/><Relationship Id="rId120" Type="http://schemas.openxmlformats.org/officeDocument/2006/relationships/hyperlink" Target="https://map.naver.com/v5/search/%EC%9D%B8%EC%B2%9C%20%EC%97%B0%EC%88%98%EA%B5%AC%20%EB%8F%99%EC%B6%98%EB%8F%99%20934-6" TargetMode="External"/><Relationship Id="rId358" Type="http://schemas.openxmlformats.org/officeDocument/2006/relationships/hyperlink" Target="https://map.naver.com/v5/search/%EC%98%81%EB%93%B1%ED%8F%AC%EA%B5%AC%20%EC%98%81%EB%93%B1%ED%8F%AC%EB%8F%993%EA%B0%8016-2" TargetMode="External"/><Relationship Id="rId565" Type="http://schemas.openxmlformats.org/officeDocument/2006/relationships/hyperlink" Target="https://map.naver.com/v5/search/%EB%A7%88%ED%8F%AC%EA%B5%AC%20%EC%83%81%EC%95%94%EB%8F%99%2030-2" TargetMode="External"/><Relationship Id="rId162" Type="http://schemas.openxmlformats.org/officeDocument/2006/relationships/hyperlink" Target="https://map.naver.com/v5/search/%EC%95%88%EC%96%91%EC%8B%9C%20%EB%8F%99%EC%95%88%EA%B5%AC%20%EA%B4%80%EC%96%91%EB%8F%99%201608-2" TargetMode="External"/><Relationship Id="rId218" Type="http://schemas.openxmlformats.org/officeDocument/2006/relationships/hyperlink" Target="https://map.naver.com/v5/search/%EC%9A%A9%EC%9D%B8%EC%8B%9C%20%EC%88%98%EC%A7%80%EA%B5%AC%20%EC%83%81%ED%98%84%EB%8F%99%20255" TargetMode="External"/><Relationship Id="rId425" Type="http://schemas.openxmlformats.org/officeDocument/2006/relationships/hyperlink" Target="https://map.naver.com/v5/search/%EC%A2%85%EB%A1%9C%EA%B5%AC%20%EB%82%B4%EC%88%98%EB%8F%99%204" TargetMode="External"/><Relationship Id="rId467" Type="http://schemas.openxmlformats.org/officeDocument/2006/relationships/hyperlink" Target="https://map.naver.com/v5/search/%EC%9D%80%ED%8F%89%EA%B5%AC%20%EA%B0%88%ED%98%84%EB%8F%99%20453-8" TargetMode="External"/><Relationship Id="rId271" Type="http://schemas.openxmlformats.org/officeDocument/2006/relationships/hyperlink" Target="https://map.naver.com/v5/search/%EC%9D%B8%EC%B2%9C%EA%B4%91%EC%97%AD%EC%8B%9C%20%EC%84%9C%EA%B5%AC%20%EA%B0%80%EC%A0%95%EB%8F%99%20611-23" TargetMode="External"/><Relationship Id="rId24" Type="http://schemas.openxmlformats.org/officeDocument/2006/relationships/hyperlink" Target="https://map.naver.com/v5/search/%EC%86%A1%ED%8C%8C%EA%B5%AC%20%EA%B1%B0%EC%97%AC%EB%8F%99%2021-5" TargetMode="External"/><Relationship Id="rId66" Type="http://schemas.openxmlformats.org/officeDocument/2006/relationships/hyperlink" Target="https://map.naver.com/p/search/%EA%B0%95%EB%82%A8%EA%B5%AC%20%EB%8C%80%EC%B9%98%EB%8F%99%20889-75" TargetMode="External"/><Relationship Id="rId131" Type="http://schemas.openxmlformats.org/officeDocument/2006/relationships/hyperlink" Target="https://map.naver.com/v5/search/%EA%B2%BD%EA%B8%B0%EB%8F%84%20%EA%B4%91%EB%AA%85%EC%8B%9C%20%ED%95%98%EC%95%88%EB%8F%99%20322-5" TargetMode="External"/><Relationship Id="rId327" Type="http://schemas.openxmlformats.org/officeDocument/2006/relationships/hyperlink" Target="https://map.naver.com/v5/search/%EC%98%81%EB%93%B1%ED%8F%AC%EA%B5%AC%20%EC%96%91%ED%8F%89%EB%8F%994%EA%B0%80%2027-4" TargetMode="External"/><Relationship Id="rId369" Type="http://schemas.openxmlformats.org/officeDocument/2006/relationships/hyperlink" Target="https://map.naver.com/v5/search/%EC%95%88%EC%82%B0%EC%8B%9C%20%EC%83%81%EB%A1%9D%EA%B5%AC%20%EC%82%AC%EB%8F%99%201304-8" TargetMode="External"/><Relationship Id="rId534" Type="http://schemas.openxmlformats.org/officeDocument/2006/relationships/hyperlink" Target="https://map.naver.com/v5/search/%EC%9D%B8%EC%B2%9C%20%EA%B3%84%EC%96%91%EA%B5%AC%20%EC%9A%A9%EC%A2%85%EB%8F%99%20209" TargetMode="External"/><Relationship Id="rId576" Type="http://schemas.openxmlformats.org/officeDocument/2006/relationships/hyperlink" Target="https://map.naver.com/v5/search/%EC%9D%80%ED%8F%89%EA%B5%AC%20%EC%8B%A0%EC%82%AC%EB%8F%99%2034-8" TargetMode="External"/><Relationship Id="rId173" Type="http://schemas.openxmlformats.org/officeDocument/2006/relationships/hyperlink" Target="https://map.naver.com/v5/search/%EC%9D%B8%EC%B2%9C%EA%B4%91%EC%97%AD%EC%8B%9C%20%EB%AF%B8%EC%B6%94%ED%99%80%EA%B5%AC%20%EC%A3%BC%EC%95%88%EB%8F%99%20230-1" TargetMode="External"/><Relationship Id="rId229" Type="http://schemas.openxmlformats.org/officeDocument/2006/relationships/hyperlink" Target="https://map.naver.com/v5/search/%EC%84%9C%EC%B4%88%EA%B5%AC%20%EC%84%9C%EC%B4%88%EB%8F%99%201573-1" TargetMode="External"/><Relationship Id="rId380" Type="http://schemas.openxmlformats.org/officeDocument/2006/relationships/hyperlink" Target="https://map.naver.com/v5/search/%EB%A7%88%ED%8F%AC%EA%B5%AC%20%EB%8F%84%ED%99%94%EB%8F%99%20250-4" TargetMode="External"/><Relationship Id="rId436" Type="http://schemas.openxmlformats.org/officeDocument/2006/relationships/hyperlink" Target="https://map.naver.com/v5/search/%EC%88%98%EC%A7%84%EB%8F%99%2010" TargetMode="External"/><Relationship Id="rId601" Type="http://schemas.openxmlformats.org/officeDocument/2006/relationships/hyperlink" Target="https://map.naver.com/v5/search/%EC%88%98%EC%9B%90%EC%8B%9C%20%EA%B6%8C%EC%84%A0%EA%B5%AC%20%ED%83%91%EB%8F%99%20356-8" TargetMode="External"/><Relationship Id="rId240" Type="http://schemas.openxmlformats.org/officeDocument/2006/relationships/hyperlink" Target="https://map.naver.com/v5/search/%EC%9D%B8%EC%B2%9C%20%EC%97%B0%EC%88%98%EA%B5%AC%20%EC%86%A1%EB%8F%84%EB%8F%99%2022-22" TargetMode="External"/><Relationship Id="rId478" Type="http://schemas.openxmlformats.org/officeDocument/2006/relationships/hyperlink" Target="https://map.naver.com/v5/search/%EA%B0%95%EB%82%A8%EA%B5%AC%20%EC%97%AD%EC%82%BC%EB%8F%99%20669-15" TargetMode="External"/><Relationship Id="rId35" Type="http://schemas.openxmlformats.org/officeDocument/2006/relationships/hyperlink" Target="https://map.naver.com/v5/search/%EC%98%81%EB%93%B1%ED%8F%AC%EA%B5%AC%20%EC%98%81%EB%93%B1%ED%8F%AC%EB%8F%993%EA%B0%80%2013" TargetMode="External"/><Relationship Id="rId77" Type="http://schemas.openxmlformats.org/officeDocument/2006/relationships/hyperlink" Target="https://map.naver.com/?query=%EC%84%9C%EC%9A%B8%20%EA%B0%95%EB%8F%99%EA%B5%AC%20%EC%84%B1%EB%82%B4%EB%8F%99%20434-2%22,%22%EC%A7%80%EB%8F%84" TargetMode="External"/><Relationship Id="rId100" Type="http://schemas.openxmlformats.org/officeDocument/2006/relationships/hyperlink" Target="https://map.naver.com/v5/search/%EC%84%B1%EB%82%A8%EC%8B%9C%20%EC%88%98%EC%A0%95%EA%B5%AC%20%EC%B0%BD%EA%B3%A1%EB%8F%99%20555-6" TargetMode="External"/><Relationship Id="rId282" Type="http://schemas.openxmlformats.org/officeDocument/2006/relationships/hyperlink" Target="https://map.naver.com/v5/search/%EC%84%B1%EB%8F%99%EA%B5%AC%20%EC%84%B1%EC%88%98%EB%8F%992%EA%B0%80%20289-96" TargetMode="External"/><Relationship Id="rId338" Type="http://schemas.openxmlformats.org/officeDocument/2006/relationships/hyperlink" Target="https://map.naver.com/v5/search/%EC%98%81%EB%93%B1%ED%8F%AC%EA%B5%AC%20%EC%96%91%ED%8F%89%EB%8F%995%EA%B0%80%2030" TargetMode="External"/><Relationship Id="rId503" Type="http://schemas.openxmlformats.org/officeDocument/2006/relationships/hyperlink" Target="https://map.naver.com/v5/search/%EC%9D%80%ED%8F%89%EA%B5%AC%20%EB%85%B9%EB%B2%88%EB%8F%99%20118-1" TargetMode="External"/><Relationship Id="rId545" Type="http://schemas.openxmlformats.org/officeDocument/2006/relationships/hyperlink" Target="https://map.naver.com/v5/search/%EA%B5%B0%ED%8F%AC%EC%8B%9C%20%EC%82%B0%EB%B3%B8%EB%8F%99%201142-2" TargetMode="External"/><Relationship Id="rId587" Type="http://schemas.openxmlformats.org/officeDocument/2006/relationships/hyperlink" Target="https://map.naver.com/v5/search/%EB%A7%88%ED%8F%AC%EA%B5%AC%20%ED%95%A9%EC%A0%95%EB%8F%99%20354-22" TargetMode="External"/><Relationship Id="rId8" Type="http://schemas.openxmlformats.org/officeDocument/2006/relationships/hyperlink" Target="https://map.naver.com/v5/search/%EA%B2%BD%EA%B8%B0%20%ED%95%98%EB%82%A8%EC%8B%9C%20%EB%A7%9D%EC%9B%94%EB%8F%99%201119-1" TargetMode="External"/><Relationship Id="rId142" Type="http://schemas.openxmlformats.org/officeDocument/2006/relationships/hyperlink" Target="https://map.naver.com/v5/search/%EC%9D%B8%EC%B2%9C%EA%B4%91%EC%97%AD%EC%8B%9C%20%EB%82%A8%EB%8F%99%EA%B5%AC%20%EC%84%9C%EC%B0%BD%EB%82%A8%EB%A1%9C%2016-28" TargetMode="External"/><Relationship Id="rId184" Type="http://schemas.openxmlformats.org/officeDocument/2006/relationships/hyperlink" Target="https://map.naver.com/v5/search/%EC%9D%B8%EC%B2%9C%EA%B4%91%EC%97%AD%EC%8B%9C%20%EB%AF%B8%EC%B6%94%ED%99%80%EA%B5%AC%20%EC%A3%BC%EC%95%88%EB%8F%99%20185-2" TargetMode="External"/><Relationship Id="rId391" Type="http://schemas.openxmlformats.org/officeDocument/2006/relationships/hyperlink" Target="https://map.naver.com/v5/search/%EC%96%91%EC%B2%9C%EA%B5%AC%20%EB%AA%A9%EB%8F%99%20406-258" TargetMode="External"/><Relationship Id="rId405" Type="http://schemas.openxmlformats.org/officeDocument/2006/relationships/hyperlink" Target="https://map.naver.com/v5/search/%EC%A2%85%EB%A1%9C%EA%B5%AC%20%EB%82%99%EC%9B%90%EB%8F%99%20148" TargetMode="External"/><Relationship Id="rId447" Type="http://schemas.openxmlformats.org/officeDocument/2006/relationships/hyperlink" Target="https://map.naver.com/v5/search/%EC%84%9C%EC%B4%88%EA%B5%AC%20%EC%84%9C%EC%B4%88%EB%8F%99%201557-22" TargetMode="External"/><Relationship Id="rId612" Type="http://schemas.openxmlformats.org/officeDocument/2006/relationships/hyperlink" Target="https://map.naver.com/v5/search/%EB%A7%88%ED%8F%AC%EA%B5%AC%20%EC%84%B1%EC%82%B0%EB%8F%99%20263-4" TargetMode="External"/><Relationship Id="rId251" Type="http://schemas.openxmlformats.org/officeDocument/2006/relationships/hyperlink" Target="https://map.naver.com/v5/search/%EA%B0%95%EB%82%A8%EA%B5%AC%20%EC%8B%A0%EC%82%AC%EB%8F%99%20517-33" TargetMode="External"/><Relationship Id="rId489" Type="http://schemas.openxmlformats.org/officeDocument/2006/relationships/hyperlink" Target="https://map.naver.com/v5/search/%EC%9D%80%ED%8F%89%EA%B5%AC%20%EB%85%B9%EB%B2%88%EB%8F%99%2035-21" TargetMode="External"/><Relationship Id="rId46" Type="http://schemas.openxmlformats.org/officeDocument/2006/relationships/hyperlink" Target="https://map.naver.com/v5/search/%EA%B0%95%EB%8F%99%EA%B5%AC%20%EC%B2%9C%ED%98%B8%EB%8F%99%20155-7" TargetMode="External"/><Relationship Id="rId293" Type="http://schemas.openxmlformats.org/officeDocument/2006/relationships/hyperlink" Target="https://map.naver.com/v5/search/%EC%9D%B8%EC%B2%9C%EA%B4%91%EC%97%AD%EC%8B%9C%20%EB%82%A8%EB%8F%99%EA%B5%AC%20%EC%84%9C%EC%B0%BD%EB%8F%99%20708-2" TargetMode="External"/><Relationship Id="rId307" Type="http://schemas.openxmlformats.org/officeDocument/2006/relationships/hyperlink" Target="https://map.naver.com/v5/search/%EC%84%B1%EB%82%A8%EC%8B%9C%20%EC%88%98%EC%A0%95%EA%B5%AC%20%EC%B0%BD%EA%B3%A1%EB%8F%99%20509" TargetMode="External"/><Relationship Id="rId349" Type="http://schemas.openxmlformats.org/officeDocument/2006/relationships/hyperlink" Target="https://map.naver.com/v5/search/%EA%B0%95%EB%82%A8%EA%B5%AC%20%EC%97%AD%EC%82%BC%EB%8F%99%20809-10" TargetMode="External"/><Relationship Id="rId514" Type="http://schemas.openxmlformats.org/officeDocument/2006/relationships/hyperlink" Target="https://map.naver.com/v5/search/%EC%9D%B8%EC%B2%9C%20%EB%B6%80%ED%8F%89%EA%B5%AC%20%EC%B2%AD%EC%B2%9C%EB%8F%99%2015-30" TargetMode="External"/><Relationship Id="rId556" Type="http://schemas.openxmlformats.org/officeDocument/2006/relationships/hyperlink" Target="https://map.naver.com/v5/search/%EC%84%9C%EB%8C%80%EB%AC%B8%EA%B5%AC%20%ED%99%8D%EC%9D%80%EB%8F%99%20217-30" TargetMode="External"/><Relationship Id="rId88" Type="http://schemas.openxmlformats.org/officeDocument/2006/relationships/hyperlink" Target="https://map.naver.com/v5/search/%EA%B0%95%EB%82%A8%EA%B5%AC%20%EC%82%BC%EC%84%B1%EB%8F%99%20130-9" TargetMode="External"/><Relationship Id="rId111" Type="http://schemas.openxmlformats.org/officeDocument/2006/relationships/hyperlink" Target="https://map.naver.com/v5/search/%EA%B4%80%EC%95%85%EA%B5%AC%20%EC%8B%A0%EB%A6%BC%EB%8F%99%20241-22" TargetMode="External"/><Relationship Id="rId153" Type="http://schemas.openxmlformats.org/officeDocument/2006/relationships/hyperlink" Target="https://map.naver.com/v5/search/%EC%95%88%EC%96%91%EC%8B%9C%20%EB%8F%99%EC%95%88%EA%B5%AC%20%EA%B4%80%EC%96%91%EB%8F%99%201606" TargetMode="External"/><Relationship Id="rId195" Type="http://schemas.openxmlformats.org/officeDocument/2006/relationships/hyperlink" Target="https://map.naver.com/v5/search/%EC%9D%B8%EC%B2%9C%EA%B4%91%EC%97%AD%EC%8B%9C%20%EB%AF%B8%EC%B6%94%ED%99%80%EA%B5%AC%20%EC%A3%BC%EC%95%88%EB%8F%99%20210-1" TargetMode="External"/><Relationship Id="rId209" Type="http://schemas.openxmlformats.org/officeDocument/2006/relationships/hyperlink" Target="https://map.naver.com/v5/search/%EC%9D%B8%EC%B2%9C%EA%B4%91%EC%97%AD%EC%8B%9C%20%EB%82%A8%EB%8F%99%EA%B5%AC%20%EA%B5%AC%EC%9B%94%EB%8F%99%2070-10" TargetMode="External"/><Relationship Id="rId360" Type="http://schemas.openxmlformats.org/officeDocument/2006/relationships/hyperlink" Target="https://map.naver.com/v5/search/%EC%98%81%EB%93%B1%ED%8F%AC%EA%B5%AC%20%EC%8B%A0%EA%B8%B8%EB%8F%99%20478" TargetMode="External"/><Relationship Id="rId416" Type="http://schemas.openxmlformats.org/officeDocument/2006/relationships/hyperlink" Target="https://map.naver.com/v5/search/%EC%A2%85%EB%A1%9C%EA%B5%AC%20%EB%8F%99%EC%88%AD%EB%8F%99%201-33" TargetMode="External"/><Relationship Id="rId598" Type="http://schemas.openxmlformats.org/officeDocument/2006/relationships/hyperlink" Target="https://map.naver.com/v5/search/%EB%A7%88%ED%8F%AC%EA%B5%AC%20%EB%A7%9D%EC%9B%90%EB%8F%99%20378-13" TargetMode="External"/><Relationship Id="rId220" Type="http://schemas.openxmlformats.org/officeDocument/2006/relationships/hyperlink" Target="https://map.naver.com/v5/search/%EC%9A%A9%EC%9D%B8%EC%8B%9C%20%EA%B8%B0%ED%9D%A5%EA%B5%AC%20%EB%B3%B4%EC%A0%95%EB%8F%99%201207-1" TargetMode="External"/><Relationship Id="rId458" Type="http://schemas.openxmlformats.org/officeDocument/2006/relationships/hyperlink" Target="https://map.naver.com/v5/search/%EC%9D%B8%EC%B2%9C%20%EB%B6%80%ED%8F%89%EA%B5%AC%20%EC%82%BC%EC%82%B0%EB%8F%99%20427-1" TargetMode="External"/><Relationship Id="rId623" Type="http://schemas.openxmlformats.org/officeDocument/2006/relationships/hyperlink" Target="https://map.naver.com/v5/search/%EB%A7%88%ED%8F%AC%EA%B5%AC%20%EC%9A%A9%EA%B0%95%EB%8F%99%2038-1" TargetMode="External"/><Relationship Id="rId15" Type="http://schemas.openxmlformats.org/officeDocument/2006/relationships/hyperlink" Target="https://map.naver.com/v5/search/%EC%84%9C%EC%9A%B8%20%EC%86%A1%ED%8C%8C%EA%B5%AC%20%EA%B1%B0%EC%97%AC%EB%8F%99%2021-11" TargetMode="External"/><Relationship Id="rId57" Type="http://schemas.openxmlformats.org/officeDocument/2006/relationships/hyperlink" Target="https://map.naver.com/p/search/%EA%B0%95%EB%8F%99%EA%B5%AC%20%EC%95%94%EC%82%AC%EB%8F%99%20504-023" TargetMode="External"/><Relationship Id="rId262" Type="http://schemas.openxmlformats.org/officeDocument/2006/relationships/hyperlink" Target="https://map.naver.com/v5/search/%EA%B0%95%EB%82%A8%EA%B5%AC%20%EC%B2%AD%EB%8B%B4%EB%8F%99%201-2" TargetMode="External"/><Relationship Id="rId318" Type="http://schemas.openxmlformats.org/officeDocument/2006/relationships/hyperlink" Target="https://map.naver.com/v5/search/%EA%B0%95%EB%82%A8%EA%B5%AC%20%EC%97%AD%EC%82%BC%EB%8F%99%20799-6" TargetMode="External"/><Relationship Id="rId525" Type="http://schemas.openxmlformats.org/officeDocument/2006/relationships/hyperlink" Target="https://map.naver.com/v5/search/%ED%99%94%EC%84%B1%EC%8B%9C%20%EC%A7%84%EC%95%88%EB%8F%99%20881-1" TargetMode="External"/><Relationship Id="rId567" Type="http://schemas.openxmlformats.org/officeDocument/2006/relationships/hyperlink" Target="https://map.naver.com/v5/search/%EC%9D%80%ED%8F%89%EA%B5%AC%20%EC%9D%91%EC%95%94%EB%8F%99%20592-62" TargetMode="External"/><Relationship Id="rId99" Type="http://schemas.openxmlformats.org/officeDocument/2006/relationships/hyperlink" Target="https://map.naver.com/v5/search/%EC%84%B1%EB%82%A8%EC%8B%9C%20%EC%88%98%EC%A0%95%EA%B5%AC%20%EC%B0%BD%EA%B3%A1%EB%8F%99%20558-10" TargetMode="External"/><Relationship Id="rId122" Type="http://schemas.openxmlformats.org/officeDocument/2006/relationships/hyperlink" Target="https://map.naver.com/v5/search/%EC%9D%B8%EC%B2%9C%20%EC%97%B0%EC%88%98%EA%B5%AC%20%EC%97%B0%EC%88%98%EB%8F%99%20569-4" TargetMode="External"/><Relationship Id="rId164" Type="http://schemas.openxmlformats.org/officeDocument/2006/relationships/hyperlink" Target="https://map.naver.com/v5/search/%EC%95%88%EC%96%91%EC%8B%9C%20%EB%8F%99%EC%95%88%EA%B5%AC%20%EA%B4%80%EC%96%91%EB%8F%99%201746-3" TargetMode="External"/><Relationship Id="rId371" Type="http://schemas.openxmlformats.org/officeDocument/2006/relationships/hyperlink" Target="https://map.naver.com/v5/search/%EB%A7%88%ED%8F%AC%EA%B5%AC%20%EC%8B%A0%EC%88%98%EB%8F%99%2091-15" TargetMode="External"/><Relationship Id="rId427" Type="http://schemas.openxmlformats.org/officeDocument/2006/relationships/hyperlink" Target="https://map.naver.com/v5/search/%EC%84%B1%EB%82%A8%EB%8F%99%203192" TargetMode="External"/><Relationship Id="rId469" Type="http://schemas.openxmlformats.org/officeDocument/2006/relationships/hyperlink" Target="https://map.naver.com/v5/search/%EC%9D%80%ED%8F%89%EA%B5%AC%20%EA%B0%88%ED%98%84%EB%8F%99%20453-24" TargetMode="External"/><Relationship Id="rId26" Type="http://schemas.openxmlformats.org/officeDocument/2006/relationships/hyperlink" Target="https://map.naver.com/v5/search/%EA%B5%AC%EB%A1%9C%EA%B5%AC%20%EA%B5%AC%EB%A1%9C%EB%8F%99%201126-10" TargetMode="External"/><Relationship Id="rId231" Type="http://schemas.openxmlformats.org/officeDocument/2006/relationships/hyperlink" Target="https://map.naver.com/v5/search/%EC%84%9C%EC%B4%88%EA%B5%AC%20%EC%84%9C%EC%B4%88%EB%8F%99%201457-2" TargetMode="External"/><Relationship Id="rId273" Type="http://schemas.openxmlformats.org/officeDocument/2006/relationships/hyperlink" Target="https://map.naver.com/v5/search/%EC%9D%B8%EC%B2%9C%EA%B4%91%EC%97%AD%EC%8B%9C%20%EC%84%9C%EA%B5%AC%20%EA%B0%80%EC%A0%95%EB%8F%99%20611-6" TargetMode="External"/><Relationship Id="rId329" Type="http://schemas.openxmlformats.org/officeDocument/2006/relationships/hyperlink" Target="https://map.naver.com/v5/search/%EC%98%81%EB%93%B1%ED%8F%AC%EA%B5%AC%20%EB%8B%B9%EC%82%B0%EB%8F%996%EA%B0%80%20237" TargetMode="External"/><Relationship Id="rId480" Type="http://schemas.openxmlformats.org/officeDocument/2006/relationships/hyperlink" Target="https://map.naver.com/v5/search/%EC%9D%80%ED%8F%89%EA%B5%AC%20%EC%88%98%EC%83%89%EB%8F%99%20370-1" TargetMode="External"/><Relationship Id="rId536" Type="http://schemas.openxmlformats.org/officeDocument/2006/relationships/hyperlink" Target="https://map.naver.com/v5/search/%EC%84%9C%EC%B4%88%EA%B5%AC%20%EB%B0%A9%EB%B0%B0%EB%8F%99%20985-2" TargetMode="External"/><Relationship Id="rId68" Type="http://schemas.openxmlformats.org/officeDocument/2006/relationships/hyperlink" Target="https://map.naver.com/p/search/%EC%98%81%ED%86%B5%EA%B5%AC%20%EC%98%81%ED%86%B5%EB%8F%99%201037-9" TargetMode="External"/><Relationship Id="rId133" Type="http://schemas.openxmlformats.org/officeDocument/2006/relationships/hyperlink" Target="https://map.naver.com/v5/search/%EA%B2%BD%EA%B8%B0%EB%8F%84%20%EC%8B%9C%ED%9D%A5%EC%8B%9C%20%EC%A0%95%EC%99%95%EB%8F%99%201736-6" TargetMode="External"/><Relationship Id="rId175" Type="http://schemas.openxmlformats.org/officeDocument/2006/relationships/hyperlink" Target="https://map.naver.com/v5/search/%EC%9D%B8%EC%B2%9C%EA%B4%91%EC%97%AD%EC%8B%9C%20%EB%AF%B8%EC%B6%94%ED%99%80%EA%B5%AC%20%EC%A3%BC%EC%95%88%EB%8F%99%201417-85" TargetMode="External"/><Relationship Id="rId340" Type="http://schemas.openxmlformats.org/officeDocument/2006/relationships/hyperlink" Target="https://map.naver.com/v5/search/%EC%98%81%EB%93%B1%ED%8F%AC%EA%B5%AC%20%EC%96%91%ED%8F%89%EB%8F%994%EA%B0%80%2052-1" TargetMode="External"/><Relationship Id="rId578" Type="http://schemas.openxmlformats.org/officeDocument/2006/relationships/hyperlink" Target="https://map.naver.com/v5/search/%EC%9D%80%ED%8F%89%EA%B5%AC%20%EB%B6%88%EA%B4%91%EB%8F%99%20290-12" TargetMode="External"/><Relationship Id="rId200" Type="http://schemas.openxmlformats.org/officeDocument/2006/relationships/hyperlink" Target="https://map.naver.com/v5/search/%EC%9D%B8%EC%B2%9C%EA%B4%91%EC%97%AD%EC%8B%9C%20%EA%B3%84%EC%96%91%EA%B5%AC%20%EA%B3%84%EC%82%B0%EB%8F%99%201076-12" TargetMode="External"/><Relationship Id="rId382" Type="http://schemas.openxmlformats.org/officeDocument/2006/relationships/hyperlink" Target="https://map.naver.com/v5/search/%EB%A7%88%ED%8F%AC%EA%B5%AC%20%EB%8F%84%ED%99%94%EB%8F%99%20250-11" TargetMode="External"/><Relationship Id="rId438" Type="http://schemas.openxmlformats.org/officeDocument/2006/relationships/hyperlink" Target="https://map.naver.com/v5/search/%EC%8B%A0%EC%82%AC%EB%8F%99%20644-13" TargetMode="External"/><Relationship Id="rId603" Type="http://schemas.openxmlformats.org/officeDocument/2006/relationships/hyperlink" Target="https://map.naver.com/v5/search/%EC%95%88%EC%82%B0%20%EC%84%A0%EB%B6%80%EB%8F%99%201188" TargetMode="External"/><Relationship Id="rId242" Type="http://schemas.openxmlformats.org/officeDocument/2006/relationships/hyperlink" Target="https://map.naver.com/v5/search/%EA%B0%95%EB%82%A8%EA%B5%AC%20%EB%85%BC%ED%98%84%EB%8F%99%20243-6" TargetMode="External"/><Relationship Id="rId284" Type="http://schemas.openxmlformats.org/officeDocument/2006/relationships/hyperlink" Target="https://map.naver.com/v5/search/%EA%B0%95%EB%82%A8%EA%B5%AC%20%EC%97%AD%EC%82%BC%EB%8F%99%20696-5" TargetMode="External"/><Relationship Id="rId491" Type="http://schemas.openxmlformats.org/officeDocument/2006/relationships/hyperlink" Target="https://map.naver.com/v5/search/%EA%B3%A0%EC%96%91%EC%8B%9C%20%EB%8D%95%EC%96%91%EA%B5%AC%20%EC%84%B1%EC%82%AC%EB%8F%99%2011-4" TargetMode="External"/><Relationship Id="rId505" Type="http://schemas.openxmlformats.org/officeDocument/2006/relationships/hyperlink" Target="https://map.naver.com/v5/search/%EC%9D%80%ED%8F%89%EA%B5%AC%20%EC%97%AD%EC%B4%8C%EB%8F%99%2043-2" TargetMode="External"/><Relationship Id="rId37" Type="http://schemas.openxmlformats.org/officeDocument/2006/relationships/hyperlink" Target="https://map.naver.com/v5/search/%EC%98%81%EB%93%B1%ED%8F%AC%EA%B5%AC%20%EC%98%81%EB%93%B1%ED%8F%AC%EB%8F%993%EA%B0%80%2014-2" TargetMode="External"/><Relationship Id="rId79" Type="http://schemas.openxmlformats.org/officeDocument/2006/relationships/hyperlink" Target="https://map.naver.com/?query=%EC%84%9C%EC%9A%B8%20%EA%B0%95%EB%8F%99%EA%B5%AC%20%EC%84%B1%EB%82%B4%EB%8F%99%20558-4%22,%22%EC%A7%80%EB%8F%84" TargetMode="External"/><Relationship Id="rId102" Type="http://schemas.openxmlformats.org/officeDocument/2006/relationships/hyperlink" Target="https://map.naver.com/v5/search/%EC%84%B1%EB%82%A8%EC%8B%9C%20%EC%88%98%EC%A0%95%EA%B5%AC%20%EC%B0%BD%EA%B3%A1%EB%8F%99%20546-7" TargetMode="External"/><Relationship Id="rId144" Type="http://schemas.openxmlformats.org/officeDocument/2006/relationships/hyperlink" Target="https://map.naver.com/p/search/%EC%84%9C%EC%9A%B8%ED%8A%B9%EB%B3%84%EC%8B%9C%20%EA%B4%80%EC%95%85%EA%B5%AC%20%EB%B4%89%EC%B2%9C%EB%8F%99%20945-1%22,%22%EC%A7%80%EB%8F%84" TargetMode="External"/><Relationship Id="rId547" Type="http://schemas.openxmlformats.org/officeDocument/2006/relationships/hyperlink" Target="https://map.naver.com/v5/search/%EA%B5%B0%ED%8F%AC%EC%8B%9C%20%EC%82%B0%EB%B3%B8%EB%8F%99%201128-1" TargetMode="External"/><Relationship Id="rId589" Type="http://schemas.openxmlformats.org/officeDocument/2006/relationships/hyperlink" Target="https://map.naver.com/v5/search/%EB%A7%88%ED%8F%AC%EA%B5%AC%20%ED%95%A9%EC%A0%95%EB%8F%99%20354-22" TargetMode="External"/><Relationship Id="rId90" Type="http://schemas.openxmlformats.org/officeDocument/2006/relationships/hyperlink" Target="https://map.naver.com/v5/search/%EA%B0%95%EB%82%A8%EA%B5%AC%20%EC%97%AD%EC%82%BC%EB%8F%99%20831-27" TargetMode="External"/><Relationship Id="rId186" Type="http://schemas.openxmlformats.org/officeDocument/2006/relationships/hyperlink" Target="https://map.naver.com/v5/search/%EB%85%B8%EC%9B%90%EA%B5%AC%20%EC%83%81%EA%B3%84%EB%8F%99%20349-3" TargetMode="External"/><Relationship Id="rId351" Type="http://schemas.openxmlformats.org/officeDocument/2006/relationships/hyperlink" Target="https://map.naver.com/v5/search/%EC%9D%B8%EC%B2%9C%EA%B4%91%EC%97%AD%EC%8B%9C%20%EB%82%A8%EB%8F%99%EA%B5%AC%20%EB%8F%84%EB%A6%BC%EB%8F%99%20672-2" TargetMode="External"/><Relationship Id="rId393" Type="http://schemas.openxmlformats.org/officeDocument/2006/relationships/hyperlink" Target="https://map.naver.com/v5/search/%EC%96%91%EC%B2%9C%EA%B5%AC%20%EC%8B%A0%EC%A0%95%EB%8F%99%20118-3" TargetMode="External"/><Relationship Id="rId407" Type="http://schemas.openxmlformats.org/officeDocument/2006/relationships/hyperlink" Target="https://map.naver.com/v5/search/%EC%9A%A9%EC%82%B0%EA%B5%AC%20%EC%9D%B4%ED%83%9C%EC%9B%90%EB%8F%99%20128-3" TargetMode="External"/><Relationship Id="rId449" Type="http://schemas.openxmlformats.org/officeDocument/2006/relationships/hyperlink" Target="https://map.naver.com/v5/search/%EC%84%9C%EC%B4%88%EA%B5%AC%20%EC%84%9C%EC%B4%88%EB%8F%99%201510-4" TargetMode="External"/><Relationship Id="rId614" Type="http://schemas.openxmlformats.org/officeDocument/2006/relationships/hyperlink" Target="https://map.naver.com/v5/search/%EA%B0%95%EB%82%A8%EA%B5%AC%20%EB%8C%80%EC%B9%98%EB%8F%99%20936-25" TargetMode="External"/><Relationship Id="rId211" Type="http://schemas.openxmlformats.org/officeDocument/2006/relationships/hyperlink" Target="https://map.naver.com/v5/search/%EC%88%98%EC%9B%90%EC%8B%9C%20%ED%8C%94%EB%8B%AC%EA%B5%AC%20%EC%9D%B8%EA%B3%84%EB%8F%99%201037-3" TargetMode="External"/><Relationship Id="rId253" Type="http://schemas.openxmlformats.org/officeDocument/2006/relationships/hyperlink" Target="https://map.naver.com/v5/search/%EA%B0%95%EB%82%A8%EA%B5%AC%20%EC%8B%A0%EC%82%AC%EB%8F%99%20576-5" TargetMode="External"/><Relationship Id="rId295" Type="http://schemas.openxmlformats.org/officeDocument/2006/relationships/hyperlink" Target="https://map.naver.com/v5/search/%EC%9D%B8%EC%B2%9C%EA%B4%91%EC%97%AD%EC%8B%9C%20%EB%82%A8%EB%8F%99%EA%B5%AC%20%EC%84%9C%EC%B0%BD%EB%8F%99%20668" TargetMode="External"/><Relationship Id="rId309" Type="http://schemas.openxmlformats.org/officeDocument/2006/relationships/hyperlink" Target="https://map.naver.com/v5/search/%EC%84%9C%EC%9A%B8%20%EC%98%81%EB%93%B1%ED%8F%AC%EA%B5%AC%20%EB%8B%B9%EC%82%B0%EB%8F%996%EA%B0%80%203-5" TargetMode="External"/><Relationship Id="rId460" Type="http://schemas.openxmlformats.org/officeDocument/2006/relationships/hyperlink" Target="https://map.naver.com/v5/search/%EC%9D%80%ED%8F%89%EA%B5%AC%20%EA%B0%88%ED%98%84%EB%8F%99%20550" TargetMode="External"/><Relationship Id="rId516" Type="http://schemas.openxmlformats.org/officeDocument/2006/relationships/hyperlink" Target="https://map.naver.com/v5/search/%EC%9D%B8%EC%B2%9C%20%EA%B3%84%EC%96%91%EA%B5%AC%20%EA%B3%84%EC%82%B0%EB%8F%99%201063-2" TargetMode="External"/><Relationship Id="rId48" Type="http://schemas.openxmlformats.org/officeDocument/2006/relationships/hyperlink" Target="https://map.naver.com/v5/search/%EA%B0%95%EB%8F%99%EA%B5%AC%20%EC%84%B1%EB%82%B4%EB%8F%99%20416" TargetMode="External"/><Relationship Id="rId113" Type="http://schemas.openxmlformats.org/officeDocument/2006/relationships/hyperlink" Target="https://map.naver.com/v5/search/%EA%B4%80%EC%95%85%EA%B5%AC%20%EC%8B%A0%EB%A6%BC%EB%8F%99%20118-3" TargetMode="External"/><Relationship Id="rId320" Type="http://schemas.openxmlformats.org/officeDocument/2006/relationships/hyperlink" Target="https://map.naver.com/v5/search/%EA%B0%95%EB%82%A8%EA%B5%AC%20%EB%8C%80%EC%B9%98%EB%8F%99%20894" TargetMode="External"/><Relationship Id="rId558" Type="http://schemas.openxmlformats.org/officeDocument/2006/relationships/hyperlink" Target="https://map.naver.com/v5/search/%EC%84%9C%EB%8C%80%EB%AC%B8%EA%B5%AC%20%ED%99%8D%EC%A0%9C%EB%8F%99%20305-3%20%EB%8A%98%EB%B4%84%EC%B6%95%EC%82%B0" TargetMode="External"/><Relationship Id="rId155" Type="http://schemas.openxmlformats.org/officeDocument/2006/relationships/hyperlink" Target="https://map.naver.com/v5/search/%EC%95%88%EC%96%91%EC%8B%9C%20%EB%8F%99%EC%95%88%EA%B5%AC%20%EB%B9%84%EC%82%B0%EB%8F%99%201034-10" TargetMode="External"/><Relationship Id="rId197" Type="http://schemas.openxmlformats.org/officeDocument/2006/relationships/hyperlink" Target="https://map.naver.com/v5/search/%EC%9D%B8%EC%B2%9C%EA%B4%91%EC%97%AD%EC%8B%9C%20%EB%AF%B8%EC%B6%94%ED%99%80%EA%B5%AC%20%EC%A3%BC%EC%95%88%EB%8F%99%2024-26" TargetMode="External"/><Relationship Id="rId362" Type="http://schemas.openxmlformats.org/officeDocument/2006/relationships/hyperlink" Target="https://map.naver.com/v5/search/%EC%96%91%EC%B2%9C%EA%B5%AC%20%EC%8B%A0%EC%A0%95%EB%8F%99%201006-2" TargetMode="External"/><Relationship Id="rId418" Type="http://schemas.openxmlformats.org/officeDocument/2006/relationships/hyperlink" Target="https://map.naver.com/v5/search/%EC%A2%85%EB%A1%9C%EA%B5%AC%20%EB%AA%85%EB%A5%9C2%EA%B0%80%2026" TargetMode="External"/><Relationship Id="rId625" Type="http://schemas.openxmlformats.org/officeDocument/2006/relationships/hyperlink" Target="https://map.naver.com/v5/search/%EC%95%88%EC%82%B0%20%EA%B3%A0%EC%9E%94%EB%8F%99%20541-1" TargetMode="External"/><Relationship Id="rId222" Type="http://schemas.openxmlformats.org/officeDocument/2006/relationships/hyperlink" Target="https://map.naver.com/v5/search/%EC%86%A1%ED%8C%8C%EA%B5%AC%20%EC%86%A1%ED%8C%8C%EB%8F%99%2084-1" TargetMode="External"/><Relationship Id="rId264" Type="http://schemas.openxmlformats.org/officeDocument/2006/relationships/hyperlink" Target="https://map.naver.com/v5/search/%EA%B0%95%EB%82%A8%EA%B5%AC%20%EB%85%BC%ED%98%84%EB%8F%99%20241-16" TargetMode="External"/><Relationship Id="rId471" Type="http://schemas.openxmlformats.org/officeDocument/2006/relationships/hyperlink" Target="https://map.naver.com/v5/search/%EC%9D%B8%EC%B2%9C%20%EC%84%9C%EA%B5%AC%20%EA%B0%80%EC%A0%95%EB%8F%99%20619-1" TargetMode="External"/><Relationship Id="rId17" Type="http://schemas.openxmlformats.org/officeDocument/2006/relationships/hyperlink" Target="https://map.naver.com/v5/search/%EC%95%88%EC%96%91%EC%8B%9C%20%EB%8F%99%EC%95%88%EA%B5%AC%20%EB%B9%84%EC%82%B0%EB%8F%99%20570-4" TargetMode="External"/><Relationship Id="rId59" Type="http://schemas.openxmlformats.org/officeDocument/2006/relationships/hyperlink" Target="https://map.naver.com/p/search/%EA%B5%B0%ED%8F%AC%EC%8B%9C%20%EC%82%B0%EB%B3%B8%EB%8F%99%201144-1" TargetMode="External"/><Relationship Id="rId124" Type="http://schemas.openxmlformats.org/officeDocument/2006/relationships/hyperlink" Target="https://map.naver.com/v5/search/%EC%9D%B8%EC%B2%9C%20%EC%97%B0%EC%88%98%EA%B5%AC%20%EB%8F%99%EC%B6%98%EB%8F%99%201117-3" TargetMode="External"/><Relationship Id="rId527" Type="http://schemas.openxmlformats.org/officeDocument/2006/relationships/hyperlink" Target="https://map.naver.com/v5/search/%ED%99%94%EC%84%B1%EC%8B%9C%20%EC%A7%84%EC%95%88%EB%8F%99%20876-1" TargetMode="External"/><Relationship Id="rId569" Type="http://schemas.openxmlformats.org/officeDocument/2006/relationships/hyperlink" Target="https://map.naver.com/v5/search/%EC%9D%80%ED%8F%89%EA%B5%AC%20%EC%9D%91%EC%95%94%EB%8F%99%20110-13" TargetMode="External"/><Relationship Id="rId70" Type="http://schemas.openxmlformats.org/officeDocument/2006/relationships/hyperlink" Target="https://map.naver.com/p/search/%EB%8F%99%EB%8C%80%EB%AC%B8%EA%B5%AC%20%EC%9E%A5%EC%95%88%EB%8F%99%20430-3" TargetMode="External"/><Relationship Id="rId166" Type="http://schemas.openxmlformats.org/officeDocument/2006/relationships/hyperlink" Target="https://map.naver.com/v5/search/%EC%9D%98%EC%99%95%EC%8B%9C%20%EB%82%B4%EC%86%90%EB%8F%99%20416-3" TargetMode="External"/><Relationship Id="rId331" Type="http://schemas.openxmlformats.org/officeDocument/2006/relationships/hyperlink" Target="https://map.naver.com/v5/search/%EC%98%81%EB%93%B1%ED%8F%AC%EA%B5%AC%20%EB%8B%B9%EC%82%B0%EB%8F%996%EA%B0%80%20312" TargetMode="External"/><Relationship Id="rId373" Type="http://schemas.openxmlformats.org/officeDocument/2006/relationships/hyperlink" Target="https://map.naver.com/v5/search/%EC%9D%B8%EC%B2%9C%EA%B4%91%EC%97%AD%EC%8B%9C%20%EC%84%9C%EA%B5%AC%20184-3" TargetMode="External"/><Relationship Id="rId429" Type="http://schemas.openxmlformats.org/officeDocument/2006/relationships/hyperlink" Target="https://map.naver.com/v5/search/%EC%84%B1%EB%82%A8%EB%8F%99%203493" TargetMode="External"/><Relationship Id="rId580" Type="http://schemas.openxmlformats.org/officeDocument/2006/relationships/hyperlink" Target="https://map.naver.com/v5/search/%EC%9D%B8%EC%B2%9C%20%EA%B3%84%EC%96%91%EA%B5%AC%20%EC%9A%A9%EC%A2%85%EB%8F%99%20210-4" TargetMode="External"/><Relationship Id="rId1" Type="http://schemas.openxmlformats.org/officeDocument/2006/relationships/hyperlink" Target="https://map.naver.com/v5/search/%EC%95%88%EC%96%91%EC%8B%9C%20%EB%8F%99%EC%95%88%EA%B5%AC%20%EB%B9%84%EC%82%B0%EB%8F%99%201059" TargetMode="External"/><Relationship Id="rId233" Type="http://schemas.openxmlformats.org/officeDocument/2006/relationships/hyperlink" Target="https://map.naver.com/v5/search/%EC%84%9C%EC%B4%88%EA%B5%AC%20%EC%84%9C%EC%B4%88%EB%8F%99%201457-2" TargetMode="External"/><Relationship Id="rId440" Type="http://schemas.openxmlformats.org/officeDocument/2006/relationships/hyperlink" Target="https://map.naver.com/v5/search/%EA%B3%A0%EC%83%89%EB%8F%99%20914-18" TargetMode="External"/><Relationship Id="rId28" Type="http://schemas.openxmlformats.org/officeDocument/2006/relationships/hyperlink" Target="https://map.naver.com/v5/search/%EA%B5%AC%EB%A1%9C%EA%B5%AC%20%EA%B5%AC%EB%A1%9C%EB%8F%99%20187-10" TargetMode="External"/><Relationship Id="rId275" Type="http://schemas.openxmlformats.org/officeDocument/2006/relationships/hyperlink" Target="https://map.naver.com/v5/search/%EC%9D%B8%EC%B2%9C%EA%B4%91%EC%97%AD%EC%8B%9C%20%EC%97%B0%EC%88%98%EA%B5%AC%20%EC%86%A1%EB%8F%84%EB%8F%99%2021-34" TargetMode="External"/><Relationship Id="rId300" Type="http://schemas.openxmlformats.org/officeDocument/2006/relationships/hyperlink" Target="https://map.naver.com/v5/search/%EA%B0%95%EB%82%A8%EA%B5%AC%20%EC%97%AD%EC%82%BC%EB%8F%99%20790-7" TargetMode="External"/><Relationship Id="rId482" Type="http://schemas.openxmlformats.org/officeDocument/2006/relationships/hyperlink" Target="https://map.naver.com/v5/search/%EC%9D%80%ED%8F%89%EA%B5%AC%20%EB%B6%88%EA%B4%91%EB%8F%99%2012-2" TargetMode="External"/><Relationship Id="rId538" Type="http://schemas.openxmlformats.org/officeDocument/2006/relationships/hyperlink" Target="https://map.naver.com/v5/search/%EA%B0%95%EB%8F%99%EA%B5%AC%20%EC%83%81%EC%9D%BC%EB%8F%99%20256" TargetMode="External"/><Relationship Id="rId81" Type="http://schemas.openxmlformats.org/officeDocument/2006/relationships/hyperlink" Target="https://map.naver.com/?query=%EC%84%9C%EC%9A%B8%20%EA%B5%AC%EB%A1%9C%EA%B5%AC%20%EA%B5%AC%EB%A1%9C%EB%8F%99%20182-13%22,%22%EC%A7%80%EB%8F%84" TargetMode="External"/><Relationship Id="rId135" Type="http://schemas.openxmlformats.org/officeDocument/2006/relationships/hyperlink" Target="https://map.naver.com/v5/search/%EA%B2%BD%EA%B8%B0%EB%8F%84%20%EC%8B%9C%ED%9D%A5%EC%8B%9C%20%EC%A0%95%EC%99%95%EB%8F%99%201736-3" TargetMode="External"/><Relationship Id="rId177" Type="http://schemas.openxmlformats.org/officeDocument/2006/relationships/hyperlink" Target="https://map.naver.com/v5/search/%EC%9D%B8%EC%B2%9C%EA%B4%91%EC%97%AD%EC%8B%9C%20%EB%AF%B8%EC%B6%94%ED%99%80%EA%B5%AC%20%EC%A3%BC%EC%95%88%EB%8F%99%20138-4" TargetMode="External"/><Relationship Id="rId342" Type="http://schemas.openxmlformats.org/officeDocument/2006/relationships/hyperlink" Target="https://map.naver.com/v5/search/%EC%98%81%EB%93%B1%ED%8F%AC%EA%B5%AC%20%EB%AC%B8%EB%9E%98%EB%8F%993%EA%B0%80%2082-8" TargetMode="External"/><Relationship Id="rId384" Type="http://schemas.openxmlformats.org/officeDocument/2006/relationships/hyperlink" Target="https://map.naver.com/v5/search/%EB%B6%84%EB%8B%B9%EA%B5%AC%20%EC%84%9C%ED%98%84%EB%8F%99%20269-3" TargetMode="External"/><Relationship Id="rId591" Type="http://schemas.openxmlformats.org/officeDocument/2006/relationships/hyperlink" Target="https://map.naver.com/v5/search/%EB%A7%88%ED%8F%AC%EA%B5%AC%20%EC%84%9C%EA%B5%90%EB%8F%99%20366-25" TargetMode="External"/><Relationship Id="rId605" Type="http://schemas.openxmlformats.org/officeDocument/2006/relationships/hyperlink" Target="https://map.naver.com/v5/search/%EC%95%88%EC%82%B0%20%EC%84%A0%EB%B6%80%EB%8F%99%201081" TargetMode="External"/><Relationship Id="rId202" Type="http://schemas.openxmlformats.org/officeDocument/2006/relationships/hyperlink" Target="https://map.naver.com/v5/search/%EC%9D%B8%EC%B2%9C%EA%B4%91%EC%97%AD%EC%8B%9C%20%EA%B3%84%EC%96%91%EA%B5%AC%20%EC%9E%91%EC%A0%84%EB%8F%99%20426-2" TargetMode="External"/><Relationship Id="rId244" Type="http://schemas.openxmlformats.org/officeDocument/2006/relationships/hyperlink" Target="https://map.naver.com/v5/search/%EC%8B%9C%ED%9D%A5%EC%8B%9C%20%EB%8C%80%EC%95%BC%EB%8F%99%20290-5" TargetMode="External"/><Relationship Id="rId39" Type="http://schemas.openxmlformats.org/officeDocument/2006/relationships/hyperlink" Target="https://map.naver.com/v5/search/%EC%84%B1%EB%B6%81%EA%B5%AC%20%EC%84%9D%EA%B4%80%EB%8F%99%20384-23" TargetMode="External"/><Relationship Id="rId286" Type="http://schemas.openxmlformats.org/officeDocument/2006/relationships/hyperlink" Target="https://map.naver.com/v5/search/%EA%B0%95%EB%82%A8%EA%B5%AC%20%EC%97%AD%EC%82%BC%EB%8F%99%20788-12" TargetMode="External"/><Relationship Id="rId451" Type="http://schemas.openxmlformats.org/officeDocument/2006/relationships/hyperlink" Target="https://map.naver.com/v5/search/%EA%B0%95%EB%82%A8%EA%B5%AC%20%EC%97%AD%EC%82%BC%EB%8F%99%20738-17" TargetMode="External"/><Relationship Id="rId493" Type="http://schemas.openxmlformats.org/officeDocument/2006/relationships/hyperlink" Target="https://map.naver.com/v5/search/%EC%9D%B8%EC%B2%9C%EC%8B%9C%20%EA%B3%84%EC%96%91%EA%B5%AC%20%EA%B3%84%EC%82%B0%EB%8F%99%201080-8" TargetMode="External"/><Relationship Id="rId507" Type="http://schemas.openxmlformats.org/officeDocument/2006/relationships/hyperlink" Target="https://map.naver.com/v5/search/%EC%9D%80%ED%8F%89%EA%B5%AC%20%EC%8B%A0%EC%82%AC%EB%8F%99%20162" TargetMode="External"/><Relationship Id="rId549" Type="http://schemas.openxmlformats.org/officeDocument/2006/relationships/hyperlink" Target="https://map.naver.com/v5/search/%EB%A7%88%ED%8F%AC%EA%B5%AC%20%EC%95%84%ED%98%84%EB%8F%99%20331-6" TargetMode="External"/><Relationship Id="rId50" Type="http://schemas.openxmlformats.org/officeDocument/2006/relationships/hyperlink" Target="https://map.naver.com/v5/search/%EA%B0%95%EB%8F%99%EA%B5%AC%20%EA%B8%B8%EB%8F%99%20411-4" TargetMode="External"/><Relationship Id="rId104" Type="http://schemas.openxmlformats.org/officeDocument/2006/relationships/hyperlink" Target="https://map.naver.com/v5/search/%EC%84%B1%EB%82%A8%EC%8B%9C%20%EC%88%98%EC%A0%95%EA%B5%AC%20%EC%B0%BD%EA%B3%A1%EB%8F%99%20545-9" TargetMode="External"/><Relationship Id="rId146" Type="http://schemas.openxmlformats.org/officeDocument/2006/relationships/hyperlink" Target="https://map.naver.com/p/search/%EA%B2%BD%EA%B8%B0%20%EC%8B%9C%ED%9D%A5%EC%8B%9C%20%EC%A0%95%EC%99%95%EB%8F%99%201855-15%22,%22%EC%A7%80%EB%8F%84" TargetMode="External"/><Relationship Id="rId188" Type="http://schemas.openxmlformats.org/officeDocument/2006/relationships/hyperlink" Target="https://map.naver.com/v5/search/%EB%85%B8%EC%9B%90%EA%B5%AC%20%EC%83%81%EA%B3%84%EB%8F%99%20735-3" TargetMode="External"/><Relationship Id="rId311" Type="http://schemas.openxmlformats.org/officeDocument/2006/relationships/hyperlink" Target="https://map.naver.com/v5/search/%EC%9D%B8%EC%B2%9C%EA%B4%91%EC%97%AD%EC%8B%9C%20%EC%84%9C%EA%B5%AC%20%EA%B0%80%EC%A0%95%EB%8F%99%20645-6" TargetMode="External"/><Relationship Id="rId353" Type="http://schemas.openxmlformats.org/officeDocument/2006/relationships/hyperlink" Target="https://map.naver.com/v5/search/%EC%98%81%EB%93%B1%ED%8F%AC%EA%B5%AC%20%EC%98%81%EB%93%B1%ED%8F%AC%EB%8F%99%20618-265" TargetMode="External"/><Relationship Id="rId395" Type="http://schemas.openxmlformats.org/officeDocument/2006/relationships/hyperlink" Target="https://map.naver.com/v5/search/%EC%96%91%EC%B2%9C%EA%B5%AC%20%EB%AA%A9%EB%8F%99%20406-271" TargetMode="External"/><Relationship Id="rId409" Type="http://schemas.openxmlformats.org/officeDocument/2006/relationships/hyperlink" Target="https://map.naver.com/v5/search/%EA%B0%95%EB%82%A8%EA%B5%AC%20%EC%8B%A0%EC%82%AC%EB%8F%99%20614" TargetMode="External"/><Relationship Id="rId560" Type="http://schemas.openxmlformats.org/officeDocument/2006/relationships/hyperlink" Target="https://map.naver.com/v5/search/%EB%A7%88%ED%8F%AC%EA%B5%AC%20%EB%8F%84%ED%99%94%EB%8F%99%20204-9" TargetMode="External"/><Relationship Id="rId92" Type="http://schemas.openxmlformats.org/officeDocument/2006/relationships/hyperlink" Target="https://map.naver.com/v5/search/%EC%84%B1%EB%82%A8%EC%8B%9C%20%EC%88%98%EC%A0%95%EA%B5%AC%20%EC%B0%BD%EA%B3%A1%EB%8F%99%20505" TargetMode="External"/><Relationship Id="rId213" Type="http://schemas.openxmlformats.org/officeDocument/2006/relationships/hyperlink" Target="https://map.naver.com/v5/search/%EC%88%98%EC%9B%90%EC%8B%9C%20%ED%8C%94%EB%8B%AC%EA%B5%AC%20%EC%9D%B8%EA%B3%84%EB%8F%99%201119" TargetMode="External"/><Relationship Id="rId420" Type="http://schemas.openxmlformats.org/officeDocument/2006/relationships/hyperlink" Target="https://map.naver.com/v5/search/%EC%A2%85%EB%A1%9C%EA%B5%AC%20%EB%AA%85%EB%A5%9C2%EA%B0%80%20186-2" TargetMode="External"/><Relationship Id="rId616" Type="http://schemas.openxmlformats.org/officeDocument/2006/relationships/hyperlink" Target="https://map.naver.com/v5/search/%EA%B0%95%EB%82%A8%EA%B5%AC%20%EB%8C%80%EC%B9%98%EB%8F%99%201021-14" TargetMode="External"/><Relationship Id="rId255" Type="http://schemas.openxmlformats.org/officeDocument/2006/relationships/hyperlink" Target="https://map.naver.com/v5/search/%EA%B0%95%EB%82%A8%EA%B5%AC%20%EC%8B%A0%EC%82%AC%EB%8F%99%20512-20" TargetMode="External"/><Relationship Id="rId297" Type="http://schemas.openxmlformats.org/officeDocument/2006/relationships/hyperlink" Target="https://map.naver.com/v5/search/%EA%B0%95%EB%82%A8%EA%B5%AC%20%EC%B2%AD%EB%8B%B4%EB%8F%99%201-2" TargetMode="External"/><Relationship Id="rId462" Type="http://schemas.openxmlformats.org/officeDocument/2006/relationships/hyperlink" Target="https://map.naver.com/v5/search/%EC%9D%B8%EC%B2%9C%20%EB%B6%80%ED%8F%89%EA%B5%AC%20%EC%82%B0%EA%B3%A1%EB%8F%99%20369-306" TargetMode="External"/><Relationship Id="rId518" Type="http://schemas.openxmlformats.org/officeDocument/2006/relationships/hyperlink" Target="https://map.naver.com/v5/search/%EC%9D%B8%EC%B2%9C%20%EC%84%9C%EA%B5%AC%20%EC%84%9D%EB%82%A8%EB%8F%99%20539-7" TargetMode="External"/><Relationship Id="rId115" Type="http://schemas.openxmlformats.org/officeDocument/2006/relationships/hyperlink" Target="https://map.naver.com/v5/search/%EC%84%9C%EC%B4%88%EA%B5%AC%20%EC%84%9C%EC%B4%88%EB%8F%99%201602-10" TargetMode="External"/><Relationship Id="rId157" Type="http://schemas.openxmlformats.org/officeDocument/2006/relationships/hyperlink" Target="https://map.naver.com/v5/search/%EC%95%88%EC%82%B0%EC%8B%9C%20%EB%8B%A8%EC%9B%90%EA%B5%AC%20%EA%B3%A0%EC%9E%94%EB%8F%99%20541-1" TargetMode="External"/><Relationship Id="rId322" Type="http://schemas.openxmlformats.org/officeDocument/2006/relationships/hyperlink" Target="https://map.naver.com/v5/search/%EC%95%88%EC%82%B0%EC%8B%9C%20%EC%83%81%EB%A1%9D%EA%B5%AC%20%EB%B3%B8%EC%98%A4%EB%8F%99%20878-6" TargetMode="External"/><Relationship Id="rId364" Type="http://schemas.openxmlformats.org/officeDocument/2006/relationships/hyperlink" Target="https://map.naver.com/v5/search/%EC%95%88%EC%82%B0%EC%8B%9C%20%EC%83%81%EB%A1%9D%EA%B5%AC%20%EC%82%AC%EB%8F%99%201556-1" TargetMode="External"/><Relationship Id="rId61" Type="http://schemas.openxmlformats.org/officeDocument/2006/relationships/hyperlink" Target="https://map.naver.com/p/search/%EA%B5%AC%EB%A1%9C%EA%B5%AC%20%EA%B5%AC%EB%A1%9C%EB%8F%99%201127-30" TargetMode="External"/><Relationship Id="rId199" Type="http://schemas.openxmlformats.org/officeDocument/2006/relationships/hyperlink" Target="https://map.naver.com/v5/search/%EC%86%A1%ED%8C%8C%EA%B5%AC%20%EA%B0%80%EB%9D%BD%EB%8F%99%2076-5" TargetMode="External"/><Relationship Id="rId571" Type="http://schemas.openxmlformats.org/officeDocument/2006/relationships/hyperlink" Target="https://map.naver.com/v5/search/%EC%9D%80%ED%8F%89%EA%B5%AC%20%EC%9D%91%EC%95%94%EB%8F%99%20577-40" TargetMode="External"/><Relationship Id="rId627" Type="http://schemas.openxmlformats.org/officeDocument/2006/relationships/hyperlink" Target="https://map.naver.com/v5/search/%EA%B0%95%EB%82%A8%EA%B5%AC%20%EC%8B%A0%EC%82%AC%EB%8F%99%20664-7" TargetMode="External"/><Relationship Id="rId19" Type="http://schemas.openxmlformats.org/officeDocument/2006/relationships/hyperlink" Target="https://map.naver.com/v5/search/%EC%95%88%EC%96%91%EC%8B%9C%20%EB%8F%99%EC%95%88%EA%B5%AC%20%EB%B9%84%EC%82%B0%EB%8F%99%201032-13" TargetMode="External"/><Relationship Id="rId224" Type="http://schemas.openxmlformats.org/officeDocument/2006/relationships/hyperlink" Target="https://map.naver.com/v5/search/%EC%84%9C%EC%B4%88%EA%B5%AC%20%EC%84%9C%EC%B4%88%EB%8F%99%201552-6" TargetMode="External"/><Relationship Id="rId266" Type="http://schemas.openxmlformats.org/officeDocument/2006/relationships/hyperlink" Target="https://map.naver.com/v5/search/%EC%95%88%EC%82%B0%EC%8B%9C%20%EB%8B%A8%EC%9B%90%EA%B5%AC%20%EC%84%A0%EB%B6%80%EB%8F%99%20534-2" TargetMode="External"/><Relationship Id="rId431" Type="http://schemas.openxmlformats.org/officeDocument/2006/relationships/hyperlink" Target="https://map.naver.com/v5/search/%EC%84%B1%EB%82%A8%EB%8F%99%203431" TargetMode="External"/><Relationship Id="rId473" Type="http://schemas.openxmlformats.org/officeDocument/2006/relationships/hyperlink" Target="https://map.naver.com/v5/search/%EC%9D%80%ED%8F%89%EA%B5%AC%20%EA%B0%88%ED%98%84%EB%8F%99%20430-4" TargetMode="External"/><Relationship Id="rId529" Type="http://schemas.openxmlformats.org/officeDocument/2006/relationships/hyperlink" Target="https://map.naver.com/v5/search/%EC%9D%B8%EC%B2%9C%20%EA%B3%84%EC%96%91%EA%B5%AC%20%EC%9A%A9%EC%A2%85%EB%8F%99%20211-8" TargetMode="External"/><Relationship Id="rId30" Type="http://schemas.openxmlformats.org/officeDocument/2006/relationships/hyperlink" Target="https://map.naver.com/v5/search/%EA%B5%AC%EB%A1%9C%EA%B5%AC%20%EA%B5%AC%EB%A1%9C%EB%8F%99%201124-95" TargetMode="External"/><Relationship Id="rId126" Type="http://schemas.openxmlformats.org/officeDocument/2006/relationships/hyperlink" Target="https://map.naver.com/v5/search/%EC%84%9C%EC%B4%88%EA%B5%AC%20%EC%84%9C%EC%B4%88%EB%8F%99%201557-8" TargetMode="External"/><Relationship Id="rId168" Type="http://schemas.openxmlformats.org/officeDocument/2006/relationships/hyperlink" Target="https://map.naver.com/v5/search/%EC%95%88%EC%96%91%EC%8B%9C%20%EB%8F%99%EC%95%88%EA%B5%AC%20%ED%8F%89%EC%B4%8C%EB%8F%99%20902-2" TargetMode="External"/><Relationship Id="rId333" Type="http://schemas.openxmlformats.org/officeDocument/2006/relationships/hyperlink" Target="https://map.naver.com/v5/search/%EC%98%81%EB%93%B1%ED%8F%AC%EA%B5%AC%20%EB%8B%B9%EC%82%B0%EB%8F%995%EA%B0%80%2042" TargetMode="External"/><Relationship Id="rId540" Type="http://schemas.openxmlformats.org/officeDocument/2006/relationships/hyperlink" Target="https://map.naver.com/v5/search/%EA%B0%95%EB%8F%99%EA%B5%AC%20%EB%AA%85%EC%9D%BC%EB%8F%99%2048-5" TargetMode="External"/><Relationship Id="rId72" Type="http://schemas.openxmlformats.org/officeDocument/2006/relationships/hyperlink" Target="https://map.naver.com/p/search/%EC%84%9C%EB%8C%80%EB%AC%B8%EA%B5%AC%20%EB%82%A8%EA%B0%80%EC%A2%8C%EB%8F%99%20385" TargetMode="External"/><Relationship Id="rId375" Type="http://schemas.openxmlformats.org/officeDocument/2006/relationships/hyperlink" Target="https://map.naver.com/v5/search/%EC%9D%B8%EC%B2%9C%EA%B4%91%EC%97%AD%EC%8B%9C%20%EC%84%9C%EA%B5%AC%20%EA%B0%80%EC%A0%95%EB%8F%99%20619-7" TargetMode="External"/><Relationship Id="rId582" Type="http://schemas.openxmlformats.org/officeDocument/2006/relationships/hyperlink" Target="https://map.naver.com/v5/search/%EC%9D%B8%EC%B2%9C%20%EA%B3%84%EC%96%91%EA%B5%AC%20%EC%9A%A9%EC%A2%85%EB%8F%99%20212-4" TargetMode="External"/><Relationship Id="rId3" Type="http://schemas.openxmlformats.org/officeDocument/2006/relationships/hyperlink" Target="https://map.naver.com/v5/search/%EC%9A%A9%EC%9D%B8%EC%8B%9C%20%EC%B2%98%EC%9D%B8%EA%B5%AC%20%EA%B9%80%EB%9F%89%EC%9E%A5%EB%8F%99%20140-24" TargetMode="External"/><Relationship Id="rId235" Type="http://schemas.openxmlformats.org/officeDocument/2006/relationships/hyperlink" Target="https://map.naver.com/v5/search/%EC%84%9C%EC%B4%88%EA%B5%AC%20%EC%84%9C%EC%B4%88%EB%8F%99%201553-15" TargetMode="External"/><Relationship Id="rId277" Type="http://schemas.openxmlformats.org/officeDocument/2006/relationships/hyperlink" Target="https://map.naver.com/v5/search/%EC%9D%B8%EC%B2%9C%EA%B4%91%EC%97%AD%EC%8B%9C%20%EC%97%B0%EC%88%98%EA%B5%AC%20%EC%84%A0%ED%95%99%EB%8F%99%20407-2" TargetMode="External"/><Relationship Id="rId400" Type="http://schemas.openxmlformats.org/officeDocument/2006/relationships/hyperlink" Target="https://map.naver.com/v5/search/%EC%A2%85%EB%A1%9C%EA%B5%AC%20%EC%B2%AD%EC%A7%84%EB%8F%99%2030" TargetMode="External"/><Relationship Id="rId442" Type="http://schemas.openxmlformats.org/officeDocument/2006/relationships/hyperlink" Target="https://map.naver.com/v5/search/%EC%98%81%EB%93%B1%ED%8F%AC%EA%B5%AC%20%EC%97%AC%EC%9D%98%EB%8F%84%EB%8F%99%2036" TargetMode="External"/><Relationship Id="rId484" Type="http://schemas.openxmlformats.org/officeDocument/2006/relationships/hyperlink" Target="https://map.naver.com/v5/search/%EC%9D%80%ED%8F%89%EA%B5%AC%20%EA%B0%88%ED%98%84%EB%8F%99%20401-14" TargetMode="External"/><Relationship Id="rId137" Type="http://schemas.openxmlformats.org/officeDocument/2006/relationships/hyperlink" Target="https://map.naver.com/v5/search/%EA%B2%BD%EA%B8%B0%EB%8F%84%20%EC%8B%9C%ED%9D%A5%EC%8B%9C%20%EC%A0%95%EC%99%95%EB%8F%99%201624-10" TargetMode="External"/><Relationship Id="rId302" Type="http://schemas.openxmlformats.org/officeDocument/2006/relationships/hyperlink" Target="https://map.naver.com/v5/search/%EA%B0%95%EB%82%A8%EA%B5%AC%20%EC%97%AD%EC%82%BC%EB%8F%99%20785-22" TargetMode="External"/><Relationship Id="rId344" Type="http://schemas.openxmlformats.org/officeDocument/2006/relationships/hyperlink" Target="https://map.naver.com/v5/search/%EC%A2%85%EB%A1%9C%EA%B5%AC%20%EC%9E%AC%EB%8F%99%20104-1" TargetMode="External"/><Relationship Id="rId41" Type="http://schemas.openxmlformats.org/officeDocument/2006/relationships/hyperlink" Target="https://map.naver.com/v5/search/%EB%85%B8%EC%9B%90%EA%B5%AC%20%EC%9B%94%EA%B3%84%EB%8F%99%20951" TargetMode="External"/><Relationship Id="rId83" Type="http://schemas.openxmlformats.org/officeDocument/2006/relationships/hyperlink" Target="https://map.naver.com/?query=%EC%84%9C%EC%9A%B8%20%EB%A7%88%ED%8F%AC%EA%B5%AC%20%EC%9A%A9%EA%B0%95%EB%8F%99%20122-12%22,%22%EC%A7%80%EB%8F%84" TargetMode="External"/><Relationship Id="rId179" Type="http://schemas.openxmlformats.org/officeDocument/2006/relationships/hyperlink" Target="https://map.naver.com/v5/search/%EC%9D%B8%EC%B2%9C%EA%B4%91%EC%97%AD%EC%8B%9C%20%EB%AF%B8%EC%B6%94%ED%99%80%EA%B5%AC%20%EC%A3%BC%EC%95%88%EB%8F%99%20190-5" TargetMode="External"/><Relationship Id="rId386" Type="http://schemas.openxmlformats.org/officeDocument/2006/relationships/hyperlink" Target="https://map.naver.com/v5/search/%EA%B3%A0%EC%96%91%EC%8B%9C%20%EB%8D%95%EC%96%91%EA%B5%AC%20%ED%96%89%EC%8B%A0%EB%8F%99%20766" TargetMode="External"/><Relationship Id="rId551" Type="http://schemas.openxmlformats.org/officeDocument/2006/relationships/hyperlink" Target="https://map.naver.com/v5/search/%EC%84%9C%EB%8C%80%EB%AC%B8%EA%B5%AC%20%EC%97%B0%ED%9D%AC%EB%8F%99%2076-24" TargetMode="External"/><Relationship Id="rId593" Type="http://schemas.openxmlformats.org/officeDocument/2006/relationships/hyperlink" Target="https://map.naver.com/v5/search/%EB%A7%88%ED%8F%AC%EA%B5%AC%20%EB%A7%9D%EC%9B%90%EB%8F%99%20379-3" TargetMode="External"/><Relationship Id="rId607" Type="http://schemas.openxmlformats.org/officeDocument/2006/relationships/hyperlink" Target="https://map.naver.com/v5/search/%EC%8B%9C%ED%9D%A5%20%EC%9E%A5%EA%B3%A1%EB%8F%99%20904-2" TargetMode="External"/><Relationship Id="rId190" Type="http://schemas.openxmlformats.org/officeDocument/2006/relationships/hyperlink" Target="https://map.naver.com/v5/search/%EC%9D%B8%EC%B2%9C%EA%B4%91%EC%97%AD%EC%8B%9C%20%EB%AF%B8%EC%B6%94%ED%99%80%EA%B5%AC%20%EC%A3%BC%EC%95%88%EB%8F%99%20956-1" TargetMode="External"/><Relationship Id="rId204" Type="http://schemas.openxmlformats.org/officeDocument/2006/relationships/hyperlink" Target="https://map.naver.com/v5/search/%EC%9D%B8%EC%B2%9C%EA%B4%91%EC%97%AD%EC%8B%9C%20%EC%84%9C%EA%B5%AC%20%EC%8B%A0%ED%98%84%EB%8F%99%20307-8" TargetMode="External"/><Relationship Id="rId246" Type="http://schemas.openxmlformats.org/officeDocument/2006/relationships/hyperlink" Target="https://map.naver.com/v5/search/%EA%B0%95%EB%82%A8%EA%B5%AC%20%EC%B2%AD%EB%8B%B4%EB%8F%99%203-15" TargetMode="External"/><Relationship Id="rId288" Type="http://schemas.openxmlformats.org/officeDocument/2006/relationships/hyperlink" Target="https://map.naver.com/v5/search/%EC%9D%B8%EC%B2%9C%EA%B4%91%EC%97%AD%EC%8B%9C%20%EB%82%A8%EB%8F%99%EA%B5%AC%20%EC%84%9C%EC%B0%BD%EB%8F%99%20708-4" TargetMode="External"/><Relationship Id="rId411" Type="http://schemas.openxmlformats.org/officeDocument/2006/relationships/hyperlink" Target="https://map.naver.com/v5/search/%EA%B0%95%EB%82%A8%EA%B5%AC%20%EC%8B%A0%EC%82%AC%EB%8F%99%20610-2" TargetMode="External"/><Relationship Id="rId453" Type="http://schemas.openxmlformats.org/officeDocument/2006/relationships/hyperlink" Target="https://map.naver.com/v5/search/%EC%9D%80%ED%8F%89%EA%B5%AC%20%EC%97%AD%EC%B4%8C%EB%8F%99%2016-2" TargetMode="External"/><Relationship Id="rId509" Type="http://schemas.openxmlformats.org/officeDocument/2006/relationships/hyperlink" Target="https://map.naver.com/v5/search/%EC%9D%80%ED%8F%89%EA%B5%AC%20%EC%9D%91%EC%95%94%EB%8F%99%2086-8" TargetMode="External"/><Relationship Id="rId106" Type="http://schemas.openxmlformats.org/officeDocument/2006/relationships/hyperlink" Target="https://map.naver.com/v5/search/%EC%86%A1%ED%8C%8C%EA%B5%AC%20%EB%AC%B8%EC%A0%95%EB%8F%99%2051-1" TargetMode="External"/><Relationship Id="rId313" Type="http://schemas.openxmlformats.org/officeDocument/2006/relationships/hyperlink" Target="https://map.naver.com/v5/search/%EC%9D%B8%EC%B2%9C%EA%B4%91%EC%97%AD%EC%8B%9C%20%EC%84%9C%EA%B5%AC%20%EA%B0%80%EC%A0%95%EB%8F%99%20617-3" TargetMode="External"/><Relationship Id="rId495" Type="http://schemas.openxmlformats.org/officeDocument/2006/relationships/hyperlink" Target="https://map.naver.com/v5/search/%EC%9D%80%ED%8F%89%EA%B5%AC%20%EB%85%B9%EB%B2%88%EB%8F%99%20182" TargetMode="External"/><Relationship Id="rId10" Type="http://schemas.openxmlformats.org/officeDocument/2006/relationships/hyperlink" Target="https://map.naver.com/v5/search/%EA%B2%BD%EA%B8%B0%20%ED%95%98%EB%82%A8%EC%8B%9C%20%EB%A7%9D%EC%9B%94%EB%8F%99%201134-2" TargetMode="External"/><Relationship Id="rId52" Type="http://schemas.openxmlformats.org/officeDocument/2006/relationships/hyperlink" Target="https://map.naver.com/v5/search/%EA%B0%95%EB%8F%99%EA%B5%AC%20%EA%B8%B8%EB%8F%99%20389-4" TargetMode="External"/><Relationship Id="rId94" Type="http://schemas.openxmlformats.org/officeDocument/2006/relationships/hyperlink" Target="https://map.naver.com/v5/search/%EC%84%9C%EC%B4%88%EA%B5%AC%20%EC%84%9C%EC%B4%88%EB%8F%99%201544-2" TargetMode="External"/><Relationship Id="rId148" Type="http://schemas.openxmlformats.org/officeDocument/2006/relationships/hyperlink" Target="https://map.naver.com/p/search/%EC%84%9C%EC%9A%B8%20%EA%B4%80%EC%95%85%EA%B5%AC%20%EB%B4%89%EC%B2%9C%EB%8F%99%201674-10%22,%22%EC%A7%80%EB%8F%84" TargetMode="External"/><Relationship Id="rId355" Type="http://schemas.openxmlformats.org/officeDocument/2006/relationships/hyperlink" Target="https://map.naver.com/v5/search/%EC%98%81%EB%93%B1%ED%8F%AC%EA%B5%AC%20%EC%98%81%EB%93%B1%ED%8F%AC%EB%8F%99%20618-55" TargetMode="External"/><Relationship Id="rId397" Type="http://schemas.openxmlformats.org/officeDocument/2006/relationships/hyperlink" Target="https://map.naver.com/v5/search/%EC%84%9C%EC%9A%B8%20%EC%98%81%EB%93%B1%ED%8F%AC%EA%B5%AC%20%EC%8B%A0%EA%B8%B8%EB%8F%99%20496" TargetMode="External"/><Relationship Id="rId520" Type="http://schemas.openxmlformats.org/officeDocument/2006/relationships/hyperlink" Target="https://map.naver.com/v5/search/%EC%9D%B8%EC%B2%9C%20%EC%84%9C%EA%B5%AC%20%EA%B0%80%EC%A2%8C%EB%8F%99%2075-1" TargetMode="External"/><Relationship Id="rId562" Type="http://schemas.openxmlformats.org/officeDocument/2006/relationships/hyperlink" Target="https://map.naver.com/v5/search/%EC%9D%80%ED%8F%89%EA%B5%AC%20%EB%8C%80%EC%A1%B0%EB%8F%99%20179-48" TargetMode="External"/><Relationship Id="rId618" Type="http://schemas.openxmlformats.org/officeDocument/2006/relationships/hyperlink" Target="https://map.naver.com/v5/search/%EA%B0%95%EB%82%A8%EA%B5%AC%20%EB%8C%80%EC%B9%98%EB%8F%99%20938" TargetMode="External"/><Relationship Id="rId215" Type="http://schemas.openxmlformats.org/officeDocument/2006/relationships/hyperlink" Target="https://map.naver.com/v5/search/%EA%B3%A0%EC%96%91%EC%8B%9C%20%EB%8D%95%EC%96%91%EA%B5%AC%20%ED%99%94%EC%A0%95%EB%8F%99%20986-9" TargetMode="External"/><Relationship Id="rId257" Type="http://schemas.openxmlformats.org/officeDocument/2006/relationships/hyperlink" Target="https://map.naver.com/v5/search/%EA%B0%95%EB%82%A8%EA%B5%AC%20%EC%B2%AD%EB%8B%B4%EB%8F%99%2038-18" TargetMode="External"/><Relationship Id="rId422" Type="http://schemas.openxmlformats.org/officeDocument/2006/relationships/hyperlink" Target="https://map.naver.com/v5/search/%EC%98%81%EB%93%B1%ED%8F%AC%EA%B5%AC%20%EC%8B%A0%EA%B8%B8%EB%8F%99%20236" TargetMode="External"/><Relationship Id="rId464" Type="http://schemas.openxmlformats.org/officeDocument/2006/relationships/hyperlink" Target="https://map.naver.com/v5/search/%EC%84%9C%EC%9A%B8%20%EC%9D%80%ED%8F%89%EA%B5%AC%20%EA%B5%AC%EC%82%B0%EB%8F%99%201-33" TargetMode="External"/><Relationship Id="rId299" Type="http://schemas.openxmlformats.org/officeDocument/2006/relationships/hyperlink" Target="https://map.naver.com/v5/search/%EA%B0%95%EB%82%A8%EA%B5%AC%20%EB%8F%84%EA%B3%A1%EB%8F%99%20942-1" TargetMode="External"/><Relationship Id="rId63" Type="http://schemas.openxmlformats.org/officeDocument/2006/relationships/hyperlink" Target="https://map.naver.com/p/search/%EA%B0%95%EB%82%A8%EA%B5%AC%20%EC%97%AD%EC%82%BC%EB%8F%99%20707-5" TargetMode="External"/><Relationship Id="rId159" Type="http://schemas.openxmlformats.org/officeDocument/2006/relationships/hyperlink" Target="https://map.naver.com/v5/search/%EC%95%88%EC%96%91%EC%8B%9C%20%EB%8F%99%EC%95%88%EA%B5%AC%20%ED%98%B8%EA%B3%84%EB%8F%99%20926-4" TargetMode="External"/><Relationship Id="rId366" Type="http://schemas.openxmlformats.org/officeDocument/2006/relationships/hyperlink" Target="https://map.naver.com/v5/search/%EB%A7%88%ED%8F%AC%EA%B5%AC%20%EA%B3%B5%EB%8D%95%EB%8F%99%20249-16" TargetMode="External"/><Relationship Id="rId573" Type="http://schemas.openxmlformats.org/officeDocument/2006/relationships/hyperlink" Target="https://map.naver.com/v5/search/%EC%9D%80%ED%8F%89%EA%B5%AC%20%EC%9D%91%EC%95%94%EB%8F%99%20595-53" TargetMode="External"/><Relationship Id="rId226" Type="http://schemas.openxmlformats.org/officeDocument/2006/relationships/hyperlink" Target="https://map.naver.com/v5/search/%EC%84%9C%EC%B4%88%EA%B5%AC%20%EC%84%9C%EC%B4%88%EB%8F%99%201567-9" TargetMode="External"/><Relationship Id="rId433" Type="http://schemas.openxmlformats.org/officeDocument/2006/relationships/hyperlink" Target="https://map.naver.com/v5/search/%EC%88%98%EC%A7%84%EB%8F%99%204516" TargetMode="External"/><Relationship Id="rId74" Type="http://schemas.openxmlformats.org/officeDocument/2006/relationships/hyperlink" Target="https://map.naver.com/p/search/%EB%A7%88%ED%8F%AC%EA%B5%AC%20%EC%83%81%EC%95%94%EB%8F%99%201262" TargetMode="External"/><Relationship Id="rId377" Type="http://schemas.openxmlformats.org/officeDocument/2006/relationships/hyperlink" Target="https://map.naver.com/v5/search/%EB%A7%88%ED%8F%AC%EA%B5%AC%20%EC%8B%A0%EA%B3%B5%EB%8D%95%EB%8F%99%2013-11" TargetMode="External"/><Relationship Id="rId500" Type="http://schemas.openxmlformats.org/officeDocument/2006/relationships/hyperlink" Target="https://map.naver.com/v5/search/%EC%9D%80%ED%8F%89%EA%B5%AC%20%EB%B6%88%EA%B4%91%EB%8F%99%20281-136" TargetMode="External"/><Relationship Id="rId584" Type="http://schemas.openxmlformats.org/officeDocument/2006/relationships/hyperlink" Target="https://map.naver.com/v5/search/%EA%B5%B0%ED%8F%AC%EC%8B%9C%20%EC%82%B0%EB%B3%B8%EB%8F%99%201134-2" TargetMode="External"/><Relationship Id="rId5" Type="http://schemas.openxmlformats.org/officeDocument/2006/relationships/hyperlink" Target="https://map.naver.com/v5/search/%EC%9A%A9%EC%9D%B8%EC%8B%9C%20%EC%B2%98%EC%9D%B8%EA%B5%AC%20%EA%B9%80%EB%9F%89%EC%9E%A5%EB%8F%99%20254-370" TargetMode="External"/><Relationship Id="rId237" Type="http://schemas.openxmlformats.org/officeDocument/2006/relationships/hyperlink" Target="https://map.naver.com/v5/search/%EC%9D%B8%EC%B2%9C%EA%B4%91%EC%97%AD%EC%8B%9C%20%EC%97%B0%EC%88%98%EA%B5%AC%20%EC%86%A1%EB%8F%84%EB%8F%99%2023-4" TargetMode="External"/><Relationship Id="rId444" Type="http://schemas.openxmlformats.org/officeDocument/2006/relationships/hyperlink" Target="https://map.naver.com/v5/search/%EA%B0%95%EB%82%A8%EA%B5%AC%20%EC%97%AD%EC%82%BC%EB%8F%99%20738-6" TargetMode="External"/><Relationship Id="rId290" Type="http://schemas.openxmlformats.org/officeDocument/2006/relationships/hyperlink" Target="https://map.naver.com/v5/search/%EC%9D%B8%EC%B2%9C%EA%B4%91%EC%97%AD%EC%8B%9C%20%EB%82%A8%EB%8F%99%EA%B5%AC%20%EC%84%9C%EC%B0%BD%EB%8F%99%20707-3" TargetMode="External"/><Relationship Id="rId304" Type="http://schemas.openxmlformats.org/officeDocument/2006/relationships/hyperlink" Target="https://map.naver.com/v5/search/%EC%A4%91%EB%9E%91%EA%B5%AC%20%EB%AC%B5%EB%8F%99%20171-4" TargetMode="External"/><Relationship Id="rId388" Type="http://schemas.openxmlformats.org/officeDocument/2006/relationships/hyperlink" Target="https://map.naver.com/v5/search/%EA%B3%A0%EC%96%91%EC%8B%9C%20%EB%8D%95%EC%96%91%EA%B5%AC%20%ED%96%89%EC%8B%A0%EB%8F%99%20761-6" TargetMode="External"/><Relationship Id="rId511" Type="http://schemas.openxmlformats.org/officeDocument/2006/relationships/hyperlink" Target="https://map.naver.com/v5/search/%EC%9D%B8%EC%B2%9C%20%EC%84%9C%EA%B5%AC%20%EB%B6%88%EB%A1%9C%EB%8F%99%201009-1" TargetMode="External"/><Relationship Id="rId609" Type="http://schemas.openxmlformats.org/officeDocument/2006/relationships/hyperlink" Target="https://map.naver.com/v5/search/%EA%B9%80%ED%8F%AC%20%ED%92%8D%EB%AC%B4%EB%A1%9C%20104" TargetMode="External"/><Relationship Id="rId85" Type="http://schemas.openxmlformats.org/officeDocument/2006/relationships/hyperlink" Target="https://map.naver.com/v5/search/%EC%86%A1%ED%8C%8C%EA%B5%AC%20%EA%B1%B0%EC%97%AC%EB%8F%99%20562-1" TargetMode="External"/><Relationship Id="rId150" Type="http://schemas.openxmlformats.org/officeDocument/2006/relationships/hyperlink" Target="https://map.naver.com/v5/search/%EC%98%81%EB%93%B1%ED%8F%AC%EA%B5%AC%20%EB%8B%B9%EC%82%B0%EB%8F%996%EA%B0%80%203-5" TargetMode="External"/><Relationship Id="rId595" Type="http://schemas.openxmlformats.org/officeDocument/2006/relationships/hyperlink" Target="https://map.naver.com/v5/search/%EB%A7%88%ED%8F%AC%EA%B5%AC%20%ED%95%A9%EC%A0%95%EB%8F%99%20427-3" TargetMode="External"/><Relationship Id="rId248" Type="http://schemas.openxmlformats.org/officeDocument/2006/relationships/hyperlink" Target="https://map.naver.com/v5/search/%EA%B0%95%EB%82%A8%EA%B5%AC%20%EC%B2%AD%EB%8B%B4%EB%8F%99%2022-1" TargetMode="External"/><Relationship Id="rId455" Type="http://schemas.openxmlformats.org/officeDocument/2006/relationships/hyperlink" Target="https://map.naver.com/v5/search/%EC%9D%80%ED%8F%89%EA%B5%AC%20%EB%85%B9%EB%B2%88%EB%8F%99%20155-13" TargetMode="External"/><Relationship Id="rId12" Type="http://schemas.openxmlformats.org/officeDocument/2006/relationships/hyperlink" Target="https://map.naver.com/v5/search/%EA%B2%BD%EA%B8%B0%20%EC%8B%9C%ED%9D%A5%EC%8B%9C%20%EC%9E%A5%ED%98%84%EB%8F%99%20544-5" TargetMode="External"/><Relationship Id="rId108" Type="http://schemas.openxmlformats.org/officeDocument/2006/relationships/hyperlink" Target="https://map.naver.com/v5/search/%EC%86%A1%ED%8C%8C%EA%B5%AC%20%EB%AC%B8%EC%A0%95%EB%8F%99%20651-6" TargetMode="External"/><Relationship Id="rId315" Type="http://schemas.openxmlformats.org/officeDocument/2006/relationships/hyperlink" Target="https://map.naver.com/v5/search/%EC%9D%B8%EC%B2%9C%EA%B4%91%EC%97%AD%EC%8B%9C%20%EB%82%A8%EB%8F%99%EA%B5%AC%20%EA%B5%AC%EC%9B%94%EB%8F%99%201126-1" TargetMode="External"/><Relationship Id="rId522" Type="http://schemas.openxmlformats.org/officeDocument/2006/relationships/hyperlink" Target="https://map.naver.com/v5/search/%EC%9D%B8%EC%B2%9C%20%EB%B6%80%ED%8F%89%EA%B5%AC%20%EC%82%BC%EC%82%B0%EB%8F%99%20427-8" TargetMode="External"/><Relationship Id="rId96" Type="http://schemas.openxmlformats.org/officeDocument/2006/relationships/hyperlink" Target="https://map.naver.com/v5/search/%EC%84%9C%EC%B4%88%EA%B5%AC%20%EC%84%9C%EC%B4%88%EB%8F%99%201342-7" TargetMode="External"/><Relationship Id="rId161" Type="http://schemas.openxmlformats.org/officeDocument/2006/relationships/hyperlink" Target="https://map.naver.com/v5/search/%EC%95%88%EC%96%91%EC%8B%9C%20%EB%8F%99%EC%95%88%EA%B5%AC%20%EA%B4%80%EC%96%91%EB%8F%99%201607" TargetMode="External"/><Relationship Id="rId399" Type="http://schemas.openxmlformats.org/officeDocument/2006/relationships/hyperlink" Target="https://map.naver.com/v5/search/%EC%A4%91%EA%B5%AC%20%EC%84%9C%EC%86%8C%EB%AC%B8%EB%8F%99%2034" TargetMode="External"/><Relationship Id="rId259" Type="http://schemas.openxmlformats.org/officeDocument/2006/relationships/hyperlink" Target="https://map.naver.com/v5/search/%EA%B0%95%EB%82%A8%EA%B5%AC%20%EC%8B%A0%EC%82%AC%EB%8F%99%20517-12" TargetMode="External"/><Relationship Id="rId466" Type="http://schemas.openxmlformats.org/officeDocument/2006/relationships/hyperlink" Target="https://map.naver.com/v5/search/%EC%9D%80%ED%8F%89%EA%B5%AC%20%EA%B0%88%ED%98%84%EB%8F%99%20452-25" TargetMode="External"/><Relationship Id="rId23" Type="http://schemas.openxmlformats.org/officeDocument/2006/relationships/hyperlink" Target="https://map.naver.com/v5/search/%EC%95%88%EC%96%91%EC%8B%9C%20%EB%A7%8C%EC%95%88%EA%B5%AC%20%EC%95%88%EC%96%91%EB%8F%99%20491-5" TargetMode="External"/><Relationship Id="rId119" Type="http://schemas.openxmlformats.org/officeDocument/2006/relationships/hyperlink" Target="https://map.naver.com/v5/search/%EC%84%9C%EC%B4%88%EA%B5%AC%20%EC%84%9C%EC%B4%88%EB%8F%99%201572-9" TargetMode="External"/><Relationship Id="rId326" Type="http://schemas.openxmlformats.org/officeDocument/2006/relationships/hyperlink" Target="https://map.naver.com/v5/search/%EC%98%81%EB%93%B1%ED%8F%AC%EA%B5%AC%20%EB%8B%B9%EC%82%B0%EB%8F%996%EA%B0%80%20314" TargetMode="External"/><Relationship Id="rId533" Type="http://schemas.openxmlformats.org/officeDocument/2006/relationships/hyperlink" Target="https://map.naver.com/v5/search/%EC%9D%B8%EC%B2%9C%20%EA%B3%84%EC%96%91%EA%B5%AC%20%EA%B3%84%EC%82%B0%EB%8F%99%201081-10%20%EC%A7%AC%EB%BD%95%EC%97%90%EB%B0%98%ED%95%98%EB%8B%A4" TargetMode="External"/><Relationship Id="rId172" Type="http://schemas.openxmlformats.org/officeDocument/2006/relationships/hyperlink" Target="https://map.naver.com/v5/search/%EC%9D%B8%EC%B2%9C%EA%B4%91%EC%97%AD%EC%8B%9C%20%EB%AF%B8%EC%B6%94%ED%99%80%EA%B5%AC%20%EC%A3%BC%EC%95%88%EB%8F%99%20230-1" TargetMode="External"/><Relationship Id="rId477" Type="http://schemas.openxmlformats.org/officeDocument/2006/relationships/hyperlink" Target="https://map.naver.com/v5/search/%EA%B0%95%EB%82%A8%EA%B5%AC%20%EC%97%AD%EC%82%BC%EB%8F%99%20678-2" TargetMode="External"/><Relationship Id="rId600" Type="http://schemas.openxmlformats.org/officeDocument/2006/relationships/hyperlink" Target="https://map.naver.com/v5/search/%EB%A7%88%ED%8F%AC%EA%B5%AC%20%EC%8B%A0%EC%A0%95%EB%8F%99%2028-2" TargetMode="External"/><Relationship Id="rId337" Type="http://schemas.openxmlformats.org/officeDocument/2006/relationships/hyperlink" Target="https://map.naver.com/v5/search/%EA%B0%95%EB%82%A8%EA%B5%AC%20%EC%97%AD%EC%82%BC%EB%8F%99%20838-9" TargetMode="External"/><Relationship Id="rId34" Type="http://schemas.openxmlformats.org/officeDocument/2006/relationships/hyperlink" Target="https://map.naver.com/v5/search/%EC%98%81%EB%93%B1%ED%8F%AC%EA%B5%AC%20%EC%98%81%EB%93%B1%ED%8F%AC%EB%8F%993%EA%B0%80%203-14" TargetMode="External"/><Relationship Id="rId544" Type="http://schemas.openxmlformats.org/officeDocument/2006/relationships/hyperlink" Target="https://map.naver.com/v5/search/%EC%9D%B8%EC%B2%9C%20%EB%B6%80%ED%8F%89%EA%B5%AC%20%EC%B2%AD%EC%B2%9C%EB%8F%99%20440-4" TargetMode="External"/><Relationship Id="rId183" Type="http://schemas.openxmlformats.org/officeDocument/2006/relationships/hyperlink" Target="https://map.naver.com/v5/search/%EA%B0%95%EB%8F%99%EA%B5%AC%20%EC%B2%9C%ED%98%B8%EB%8F%99%20427-53" TargetMode="External"/><Relationship Id="rId390" Type="http://schemas.openxmlformats.org/officeDocument/2006/relationships/hyperlink" Target="https://map.naver.com/v5/search/%EA%B0%95%EC%84%9C%EA%B5%AC%20%EC%97%BC%EC%B0%BD%EB%8F%99%20282-18" TargetMode="External"/><Relationship Id="rId404" Type="http://schemas.openxmlformats.org/officeDocument/2006/relationships/hyperlink" Target="https://map.naver.com/v5/search/%EC%A2%85%EB%A1%9C%EA%B5%AC%20%EB%82%99%EC%9B%90%EB%8F%99%20146" TargetMode="External"/><Relationship Id="rId611" Type="http://schemas.openxmlformats.org/officeDocument/2006/relationships/hyperlink" Target="https://map.naver.com/v5/search/%EC%95%88%EC%82%B0%20%EA%B3%A0%EC%9E%94%EB%8F%99%20732-2" TargetMode="External"/><Relationship Id="rId250" Type="http://schemas.openxmlformats.org/officeDocument/2006/relationships/hyperlink" Target="https://map.naver.com/v5/search/%EA%B0%95%EB%82%A8%EA%B5%AC%20%EC%B2%AD%EB%8B%B4%EB%8F%99%201-14" TargetMode="External"/><Relationship Id="rId488" Type="http://schemas.openxmlformats.org/officeDocument/2006/relationships/hyperlink" Target="https://map.naver.com/v5/search/%EA%B3%A0%EC%96%91%EC%8B%9C%20%EB%8D%95%EC%96%91%EA%B5%AC%20%EC%84%B1%EC%82%AC%EB%8F%99%20291-20" TargetMode="External"/><Relationship Id="rId45" Type="http://schemas.openxmlformats.org/officeDocument/2006/relationships/hyperlink" Target="https://map.naver.com/v5/search/%EA%B0%95%EB%8F%99%EA%B5%AC%20%EA%B8%B8%EB%8F%99%20383-9" TargetMode="External"/><Relationship Id="rId110" Type="http://schemas.openxmlformats.org/officeDocument/2006/relationships/hyperlink" Target="https://map.naver.com/v5/search/%EA%B4%80%EC%95%85%EA%B5%AC%20%EC%8B%A0%EB%A6%BC%EB%8F%99%20247-2" TargetMode="External"/><Relationship Id="rId348" Type="http://schemas.openxmlformats.org/officeDocument/2006/relationships/hyperlink" Target="https://map.naver.com/v5/search/%EA%B0%95%EB%82%A8%EA%B5%AC%20%EC%97%AD%EC%82%BC%EB%8F%99%20809-12" TargetMode="External"/><Relationship Id="rId555" Type="http://schemas.openxmlformats.org/officeDocument/2006/relationships/hyperlink" Target="https://map.naver.com/v5/search/%EC%84%9C%EB%8C%80%EB%AC%B8%EA%B5%AC%20%ED%99%8D%EC%9D%80%EB%8F%99%20464" TargetMode="External"/><Relationship Id="rId194" Type="http://schemas.openxmlformats.org/officeDocument/2006/relationships/hyperlink" Target="https://map.naver.com/v5/search/%EC%9D%B8%EC%B2%9C%EA%B4%91%EC%97%AD%EC%8B%9C%20%EB%AF%B8%EC%B6%94%ED%99%80%EA%B5%AC%20%EC%A3%BC%EC%95%88%EB%8F%99%201542-26" TargetMode="External"/><Relationship Id="rId208" Type="http://schemas.openxmlformats.org/officeDocument/2006/relationships/hyperlink" Target="https://map.naver.com/v5/search/%EC%9A%A9%EC%9D%B8%EC%8B%9C%20%EC%88%98%EC%A7%80%EA%B5%AC%20%EC%83%81%ED%98%84%EB%8F%99%201131-5" TargetMode="External"/><Relationship Id="rId415" Type="http://schemas.openxmlformats.org/officeDocument/2006/relationships/hyperlink" Target="https://map.naver.com/v5/search/%EA%B0%95%EB%82%A8%EA%B5%AC%20%EC%8B%A0%EC%82%AC%EB%8F%99%20642-17" TargetMode="External"/><Relationship Id="rId622" Type="http://schemas.openxmlformats.org/officeDocument/2006/relationships/hyperlink" Target="https://map.naver.com/v5/search/%EB%A7%88%ED%8F%AC%EA%B5%AC%20%EC%95%84%ED%98%84%EB%8F%99%20395-1" TargetMode="External"/><Relationship Id="rId261" Type="http://schemas.openxmlformats.org/officeDocument/2006/relationships/hyperlink" Target="https://map.naver.com/v5/search/%EA%B0%95%EB%82%A8%EA%B5%AC%20%EC%8B%A0%EC%82%AC%EB%8F%99%20539-2" TargetMode="External"/><Relationship Id="rId499" Type="http://schemas.openxmlformats.org/officeDocument/2006/relationships/hyperlink" Target="https://map.naver.com/v5/search/%EC%9D%80%ED%8F%89%EA%B5%AC%20%EB%B6%88%EA%B4%91%EB%8F%99%20281-113" TargetMode="External"/><Relationship Id="rId56" Type="http://schemas.openxmlformats.org/officeDocument/2006/relationships/hyperlink" Target="https://map.naver.com/p/search/%EA%B0%95%EB%8F%99%EA%B5%AC%20%EC%95%94%EC%82%AC%EB%8F%99%20504-038" TargetMode="External"/><Relationship Id="rId359" Type="http://schemas.openxmlformats.org/officeDocument/2006/relationships/hyperlink" Target="https://map.naver.com/v5/search/%EC%98%81%EB%93%B1%ED%8F%AC%EA%B5%AC%20%EC%98%81%EB%93%B1%ED%8F%AC%EB%8F%99%20618-214" TargetMode="External"/><Relationship Id="rId566" Type="http://schemas.openxmlformats.org/officeDocument/2006/relationships/hyperlink" Target="https://map.naver.com/v5/search/%EB%A7%88%ED%8F%AC%EA%B5%AC%20%EC%83%81%EC%95%94%EB%8F%99%2040-2" TargetMode="External"/><Relationship Id="rId121" Type="http://schemas.openxmlformats.org/officeDocument/2006/relationships/hyperlink" Target="https://map.naver.com/v5/search/%EC%9D%B8%EC%B2%9C%20%EC%97%B0%EC%88%98%EA%B5%AC%20%EB%8F%99%EC%B6%98%EB%8F%99%20934-2" TargetMode="External"/><Relationship Id="rId219" Type="http://schemas.openxmlformats.org/officeDocument/2006/relationships/hyperlink" Target="https://map.naver.com/v5/search/%EC%9A%A9%EC%9D%B8%EC%8B%9C%20%EC%88%98%EC%A7%80%EA%B5%AC%20%EC%A3%BD%EC%A0%84%EB%8F%99%20452-6" TargetMode="External"/><Relationship Id="rId426" Type="http://schemas.openxmlformats.org/officeDocument/2006/relationships/hyperlink" Target="https://map.naver.com/v5/search/%EC%84%B1%EB%82%A8%EB%8F%99%203141" TargetMode="External"/><Relationship Id="rId67" Type="http://schemas.openxmlformats.org/officeDocument/2006/relationships/hyperlink" Target="https://map.naver.com/p/search/%EA%B0%95%EB%82%A8%EA%B5%AC%20%EB%8C%80%EC%B9%98%EB%8F%99%20890-45" TargetMode="External"/><Relationship Id="rId272" Type="http://schemas.openxmlformats.org/officeDocument/2006/relationships/hyperlink" Target="https://map.naver.com/v5/search/%EC%9D%B8%EC%B2%9C%EA%B4%91%EC%97%AD%EC%8B%9C%20%EC%84%9C%EA%B5%AC%20%EA%B0%80%EC%A0%95%EB%8F%99%20645-6" TargetMode="External"/><Relationship Id="rId577" Type="http://schemas.openxmlformats.org/officeDocument/2006/relationships/hyperlink" Target="https://map.naver.com/v5/search/%EC%9D%80%ED%8F%89%EA%B5%AC%20%EB%8C%80%EC%A1%B0%EB%8F%99%2045" TargetMode="External"/><Relationship Id="rId132" Type="http://schemas.openxmlformats.org/officeDocument/2006/relationships/hyperlink" Target="https://map.naver.com/v5/search/%EC%84%9C%EC%B4%88%EA%B5%AC%20%EC%84%9C%EC%B4%88%EB%8F%99%201445-4" TargetMode="External"/><Relationship Id="rId437" Type="http://schemas.openxmlformats.org/officeDocument/2006/relationships/hyperlink" Target="https://map.naver.com/v5/search/%EA%B3%A0%EC%9E%94%EB%8F%99%20706" TargetMode="External"/><Relationship Id="rId283" Type="http://schemas.openxmlformats.org/officeDocument/2006/relationships/hyperlink" Target="https://map.naver.com/v5/search/%EA%B0%95%EB%82%A8%EA%B5%AC%20%EC%82%BC%EC%84%B1%EB%8F%99%20140-6" TargetMode="External"/><Relationship Id="rId490" Type="http://schemas.openxmlformats.org/officeDocument/2006/relationships/hyperlink" Target="https://map.naver.com/v5/search/%EC%84%9C%EB%8C%80%EB%AC%B8%EA%B5%AC%20%ED%99%8D%EC%A0%9C%EB%8F%99%20139-22" TargetMode="External"/><Relationship Id="rId504" Type="http://schemas.openxmlformats.org/officeDocument/2006/relationships/hyperlink" Target="https://map.naver.com/v5/search/%EC%9D%80%ED%8F%89%EA%B5%AC%20%EC%97%AD%EC%B4%8C%EB%8F%99%203-1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ap.naver.com/v5/search/%EA%B4%80%EC%95%85%EA%B5%AC%20%EC%96%91%EB%85%95%EB%A1%9C41-1" TargetMode="External"/><Relationship Id="rId2" Type="http://schemas.openxmlformats.org/officeDocument/2006/relationships/hyperlink" Target="https://map.naver.com/v5/search/%EA%B4%80%EC%95%85%EA%B5%AC%20%EC%96%91%EB%85%95%EB%A1%9C39" TargetMode="External"/><Relationship Id="rId1" Type="http://schemas.openxmlformats.org/officeDocument/2006/relationships/hyperlink" Target="https://map.naver.com/v5/search/%EA%B4%80%EC%95%85%EA%B5%AC%20%EC%96%91%EB%85%95%EB%A1%9C23" TargetMode="External"/><Relationship Id="rId5" Type="http://schemas.openxmlformats.org/officeDocument/2006/relationships/hyperlink" Target="https://map.naver.com/v5/search/%EA%B8%88%EC%B2%9C%EA%B5%AC%20%EC%8B%9C%ED%9D%A5%EB%8C%80%EB%A1%9C52%EA%B8%B870" TargetMode="External"/><Relationship Id="rId4" Type="http://schemas.openxmlformats.org/officeDocument/2006/relationships/hyperlink" Target="https://map.naver.com/v5/search/%EA%B8%88%EC%B2%9C%EA%B5%AC%20%EA%B8%88%ED%95%98%EB%A1%9C638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p.naver.com/v5/search/%EA%B4%91%EC%A7%84%EA%B5%AC%20%EC%A4%91%EA%B3%A1%EB%8F%99%2031-1" TargetMode="External"/><Relationship Id="rId7" Type="http://schemas.openxmlformats.org/officeDocument/2006/relationships/hyperlink" Target="https://map.kakao.com/?q=%EC%84%9C%EC%9A%B8%20%EA%B4%91%EC%A7%84%EA%B5%AC%20%EA%B4%91%EC%9E%A5%EB%8F%99%20331-3" TargetMode="External"/><Relationship Id="rId2" Type="http://schemas.openxmlformats.org/officeDocument/2006/relationships/hyperlink" Target="https://map.naver.com/p/search/%EC%84%9C%EC%9A%B8%20%EA%B4%91%EC%A7%84%EA%B5%AC%20%EC%9E%90%EC%96%91%EB%8F%99%20794%22,%22%EC%A7%80%EB%8F%84" TargetMode="External"/><Relationship Id="rId1" Type="http://schemas.openxmlformats.org/officeDocument/2006/relationships/hyperlink" Target="https://map.naver.com/v5/search/%EA%B4%91%EC%A7%84%EA%B5%AC%20%EC%A4%91%EA%B3%A1%EB%8F%99%2031-1" TargetMode="External"/><Relationship Id="rId6" Type="http://schemas.openxmlformats.org/officeDocument/2006/relationships/hyperlink" Target="https://map.kakao.com/?q=%EC%84%9C%EC%9A%B8%20%EA%B4%91%EC%A7%84%EA%B5%AC%20%EA%B4%91%EC%9E%A5%EB%8F%99%20326-13" TargetMode="External"/><Relationship Id="rId5" Type="http://schemas.openxmlformats.org/officeDocument/2006/relationships/hyperlink" Target="https://map.kakao.com/?q=%EC%84%9C%EC%9A%B8%20%EA%B4%91%EC%A7%84%EA%B5%AC%20%EA%B4%91%EC%9E%A5%EB%8F%99%20331-3" TargetMode="External"/><Relationship Id="rId4" Type="http://schemas.openxmlformats.org/officeDocument/2006/relationships/hyperlink" Target="https://map.naver.com/v5/search/%EA%B4%91%EC%A7%84%EA%B5%AC%20%EC%9E%90%EC%96%91%EB%8F%99%20250-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2"/>
  <sheetViews>
    <sheetView zoomScaleNormal="100" workbookViewId="0">
      <selection sqref="A1:XFD1048576"/>
    </sheetView>
  </sheetViews>
  <sheetFormatPr defaultColWidth="30.796875" defaultRowHeight="30" customHeight="1" zeroHeight="1"/>
  <cols>
    <col min="1" max="1" width="30.796875" style="2"/>
    <col min="2" max="2" width="16" style="2" customWidth="1"/>
    <col min="3" max="3" width="27.8984375" style="2" customWidth="1"/>
    <col min="4" max="4" width="20" style="2" customWidth="1"/>
    <col min="5" max="5" width="18.796875" style="2" customWidth="1"/>
    <col min="6" max="6" width="16.296875" style="2" customWidth="1"/>
    <col min="7" max="7" width="18.296875" style="2" customWidth="1"/>
    <col min="8" max="8" width="12.19921875" style="2" customWidth="1"/>
    <col min="9" max="9" width="72.09765625" style="2" customWidth="1"/>
    <col min="10" max="16384" width="30.796875" style="2"/>
  </cols>
  <sheetData>
    <row r="1" spans="1:9" s="24" customFormat="1" ht="30" customHeight="1">
      <c r="A1" s="24" t="s">
        <v>201</v>
      </c>
    </row>
    <row r="2" spans="1:9" ht="30" hidden="1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30" hidden="1" customHeight="1">
      <c r="A3" s="2" t="s">
        <v>9</v>
      </c>
      <c r="B3" s="3" t="s">
        <v>85</v>
      </c>
      <c r="C3" s="2" t="s">
        <v>59</v>
      </c>
      <c r="D3" s="2">
        <v>26</v>
      </c>
      <c r="E3" s="2">
        <v>10000</v>
      </c>
      <c r="F3" s="2">
        <v>350</v>
      </c>
      <c r="G3" s="2">
        <v>0</v>
      </c>
      <c r="H3" s="2">
        <v>0</v>
      </c>
      <c r="I3" s="2" t="s">
        <v>61</v>
      </c>
    </row>
    <row r="4" spans="1:9" ht="30" hidden="1" customHeight="1">
      <c r="A4" s="2" t="s">
        <v>9</v>
      </c>
      <c r="B4" s="3" t="s">
        <v>34</v>
      </c>
      <c r="C4" s="2" t="s">
        <v>59</v>
      </c>
      <c r="D4" s="2">
        <v>12</v>
      </c>
      <c r="E4" s="2">
        <v>10000</v>
      </c>
      <c r="F4" s="2">
        <v>250</v>
      </c>
      <c r="G4" s="2">
        <v>0</v>
      </c>
      <c r="H4" s="2">
        <v>0</v>
      </c>
      <c r="I4" s="2" t="s">
        <v>61</v>
      </c>
    </row>
    <row r="5" spans="1:9" ht="30" hidden="1" customHeight="1">
      <c r="A5" s="2" t="s">
        <v>10</v>
      </c>
      <c r="B5" s="3" t="s">
        <v>35</v>
      </c>
      <c r="C5" s="2" t="s">
        <v>59</v>
      </c>
      <c r="D5" s="2">
        <v>24</v>
      </c>
      <c r="E5" s="2">
        <v>2000</v>
      </c>
      <c r="F5" s="2">
        <v>175</v>
      </c>
      <c r="G5" s="2">
        <v>5000</v>
      </c>
      <c r="H5" s="2">
        <v>0</v>
      </c>
      <c r="I5" s="2" t="s">
        <v>62</v>
      </c>
    </row>
    <row r="6" spans="1:9" ht="30" hidden="1" customHeight="1">
      <c r="A6" s="2" t="s">
        <v>11</v>
      </c>
      <c r="B6" s="3" t="s">
        <v>36</v>
      </c>
      <c r="C6" s="2" t="s">
        <v>59</v>
      </c>
      <c r="D6" s="2">
        <v>30</v>
      </c>
      <c r="E6" s="2">
        <v>2000</v>
      </c>
      <c r="F6" s="2">
        <v>170</v>
      </c>
      <c r="G6" s="2">
        <v>7000</v>
      </c>
      <c r="H6" s="2">
        <v>0</v>
      </c>
      <c r="I6" s="2" t="s">
        <v>63</v>
      </c>
    </row>
    <row r="7" spans="1:9" ht="30" hidden="1" customHeight="1">
      <c r="A7" s="2" t="s">
        <v>12</v>
      </c>
      <c r="B7" s="3" t="s">
        <v>37</v>
      </c>
      <c r="C7" s="2" t="s">
        <v>59</v>
      </c>
      <c r="D7" s="2">
        <v>28</v>
      </c>
      <c r="E7" s="2">
        <v>5000</v>
      </c>
      <c r="F7" s="2">
        <v>230</v>
      </c>
      <c r="G7" s="2">
        <v>10000</v>
      </c>
      <c r="H7" s="2">
        <v>0</v>
      </c>
      <c r="I7" s="2" t="s">
        <v>64</v>
      </c>
    </row>
    <row r="8" spans="1:9" ht="30" hidden="1" customHeight="1">
      <c r="A8" s="2" t="s">
        <v>13</v>
      </c>
      <c r="B8" s="3" t="s">
        <v>38</v>
      </c>
      <c r="C8" s="2" t="s">
        <v>59</v>
      </c>
      <c r="D8" s="2">
        <v>34</v>
      </c>
      <c r="E8" s="2">
        <v>5000</v>
      </c>
      <c r="F8" s="2">
        <v>470</v>
      </c>
      <c r="G8" s="2">
        <v>25000</v>
      </c>
      <c r="H8" s="2">
        <v>15</v>
      </c>
      <c r="I8" s="2" t="s">
        <v>65</v>
      </c>
    </row>
    <row r="9" spans="1:9" ht="30" hidden="1" customHeight="1">
      <c r="A9" s="2" t="s">
        <v>14</v>
      </c>
      <c r="B9" s="3" t="s">
        <v>39</v>
      </c>
      <c r="C9" s="2" t="s">
        <v>59</v>
      </c>
      <c r="D9" s="2">
        <v>30</v>
      </c>
      <c r="E9" s="2">
        <v>5000</v>
      </c>
      <c r="F9" s="2">
        <v>450</v>
      </c>
      <c r="G9" s="2">
        <v>11</v>
      </c>
      <c r="I9" s="2" t="s">
        <v>66</v>
      </c>
    </row>
    <row r="10" spans="1:9" ht="30" hidden="1" customHeight="1">
      <c r="A10" s="2" t="s">
        <v>14</v>
      </c>
      <c r="B10" s="3" t="s">
        <v>39</v>
      </c>
      <c r="C10" s="2" t="s">
        <v>60</v>
      </c>
      <c r="D10" s="2">
        <v>30</v>
      </c>
      <c r="E10" s="2">
        <v>5000</v>
      </c>
      <c r="F10" s="2">
        <v>250</v>
      </c>
      <c r="G10" s="2">
        <v>0</v>
      </c>
      <c r="I10" s="2" t="s">
        <v>66</v>
      </c>
    </row>
    <row r="11" spans="1:9" ht="30" hidden="1" customHeight="1">
      <c r="A11" s="2" t="s">
        <v>15</v>
      </c>
      <c r="B11" s="3" t="s">
        <v>40</v>
      </c>
      <c r="C11" s="2" t="s">
        <v>59</v>
      </c>
      <c r="D11" s="2">
        <v>14.5</v>
      </c>
      <c r="E11" s="2">
        <v>3000</v>
      </c>
      <c r="F11" s="2">
        <v>200</v>
      </c>
      <c r="H11" s="2">
        <v>30</v>
      </c>
      <c r="I11" s="2" t="s">
        <v>67</v>
      </c>
    </row>
    <row r="12" spans="1:9" ht="30" hidden="1" customHeight="1">
      <c r="A12" s="2" t="s">
        <v>15</v>
      </c>
      <c r="B12" s="3" t="s">
        <v>40</v>
      </c>
      <c r="C12" s="2" t="s">
        <v>59</v>
      </c>
      <c r="D12" s="2">
        <v>18.5</v>
      </c>
      <c r="E12" s="2">
        <v>3000</v>
      </c>
      <c r="F12" s="2">
        <v>280</v>
      </c>
      <c r="H12" s="2">
        <v>36</v>
      </c>
      <c r="I12" s="2" t="s">
        <v>68</v>
      </c>
    </row>
    <row r="13" spans="1:9" ht="30" hidden="1" customHeight="1">
      <c r="A13" s="2" t="s">
        <v>15</v>
      </c>
      <c r="B13" s="3" t="s">
        <v>40</v>
      </c>
      <c r="C13" s="2" t="s">
        <v>59</v>
      </c>
      <c r="D13" s="2">
        <v>19.600000000000001</v>
      </c>
      <c r="E13" s="2">
        <v>7000</v>
      </c>
      <c r="F13" s="2">
        <v>350</v>
      </c>
      <c r="H13" s="2">
        <v>40</v>
      </c>
      <c r="I13" s="2" t="s">
        <v>69</v>
      </c>
    </row>
    <row r="14" spans="1:9" ht="30" hidden="1" customHeight="1">
      <c r="A14" s="2" t="s">
        <v>16</v>
      </c>
      <c r="B14" s="3" t="s">
        <v>41</v>
      </c>
      <c r="C14" s="2" t="s">
        <v>59</v>
      </c>
      <c r="D14" s="2">
        <v>38</v>
      </c>
      <c r="E14" s="2">
        <v>5000</v>
      </c>
      <c r="F14" s="2">
        <v>305</v>
      </c>
      <c r="G14" s="2">
        <v>12000</v>
      </c>
      <c r="I14" s="2" t="s">
        <v>70</v>
      </c>
    </row>
    <row r="15" spans="1:9" ht="30" hidden="1" customHeight="1">
      <c r="A15" s="2" t="s">
        <v>17</v>
      </c>
      <c r="B15" s="3" t="s">
        <v>42</v>
      </c>
      <c r="C15" s="2" t="s">
        <v>60</v>
      </c>
      <c r="D15" s="2">
        <v>55</v>
      </c>
      <c r="E15" s="2">
        <v>12000</v>
      </c>
      <c r="F15" s="2">
        <v>500</v>
      </c>
      <c r="G15" s="2">
        <v>0</v>
      </c>
      <c r="H15" s="2">
        <v>300</v>
      </c>
      <c r="I15" s="2" t="s">
        <v>66</v>
      </c>
    </row>
    <row r="16" spans="1:9" ht="30" hidden="1" customHeight="1">
      <c r="A16" s="2" t="s">
        <v>18</v>
      </c>
      <c r="B16" s="3" t="s">
        <v>43</v>
      </c>
      <c r="C16" s="2" t="s">
        <v>59</v>
      </c>
      <c r="D16" s="2">
        <v>23</v>
      </c>
      <c r="E16" s="2">
        <v>3000</v>
      </c>
      <c r="F16" s="2">
        <v>190</v>
      </c>
      <c r="G16" s="2">
        <v>5000</v>
      </c>
      <c r="H16" s="2">
        <v>15</v>
      </c>
      <c r="I16" s="2" t="s">
        <v>71</v>
      </c>
    </row>
    <row r="17" spans="1:9" ht="30" hidden="1" customHeight="1">
      <c r="A17" s="2" t="s">
        <v>19</v>
      </c>
      <c r="B17" s="3" t="s">
        <v>44</v>
      </c>
      <c r="C17" s="2" t="s">
        <v>59</v>
      </c>
      <c r="D17" s="2">
        <v>27</v>
      </c>
      <c r="E17" s="2">
        <v>3000</v>
      </c>
      <c r="F17" s="2">
        <v>240</v>
      </c>
      <c r="G17" s="2">
        <v>5000</v>
      </c>
      <c r="H17" s="2">
        <v>5</v>
      </c>
      <c r="I17" s="2" t="s">
        <v>72</v>
      </c>
    </row>
    <row r="18" spans="1:9" ht="30" hidden="1" customHeight="1">
      <c r="A18" s="2" t="s">
        <v>20</v>
      </c>
      <c r="B18" s="3" t="s">
        <v>45</v>
      </c>
      <c r="C18" s="2" t="s">
        <v>59</v>
      </c>
      <c r="D18" s="2">
        <v>28</v>
      </c>
      <c r="E18" s="2">
        <v>5500</v>
      </c>
      <c r="F18" s="2">
        <v>390</v>
      </c>
      <c r="G18" s="2">
        <v>3000</v>
      </c>
      <c r="I18" s="2" t="s">
        <v>73</v>
      </c>
    </row>
    <row r="19" spans="1:9" ht="30" hidden="1" customHeight="1">
      <c r="A19" s="2" t="s">
        <v>21</v>
      </c>
      <c r="B19" s="3" t="s">
        <v>46</v>
      </c>
      <c r="C19" s="2" t="s">
        <v>59</v>
      </c>
      <c r="D19" s="2">
        <v>29</v>
      </c>
      <c r="E19" s="2">
        <v>3000</v>
      </c>
      <c r="F19" s="2">
        <v>235</v>
      </c>
      <c r="G19" s="2">
        <v>3000</v>
      </c>
      <c r="H19" s="2">
        <v>10</v>
      </c>
      <c r="I19" s="2" t="s">
        <v>74</v>
      </c>
    </row>
    <row r="20" spans="1:9" ht="30" hidden="1" customHeight="1">
      <c r="A20" s="2" t="s">
        <v>22</v>
      </c>
      <c r="B20" s="3" t="s">
        <v>47</v>
      </c>
      <c r="C20" s="2" t="s">
        <v>59</v>
      </c>
      <c r="D20" s="2">
        <v>30</v>
      </c>
      <c r="E20" s="2">
        <v>4000</v>
      </c>
      <c r="F20" s="2">
        <v>210</v>
      </c>
      <c r="G20" s="2">
        <v>5000</v>
      </c>
      <c r="I20" s="2" t="s">
        <v>75</v>
      </c>
    </row>
    <row r="21" spans="1:9" ht="30" hidden="1" customHeight="1">
      <c r="A21" s="2" t="s">
        <v>23</v>
      </c>
      <c r="B21" s="3" t="s">
        <v>48</v>
      </c>
      <c r="C21" s="2" t="s">
        <v>59</v>
      </c>
      <c r="D21" s="2">
        <v>32</v>
      </c>
      <c r="E21" s="2">
        <v>6000</v>
      </c>
      <c r="F21" s="2">
        <v>420</v>
      </c>
      <c r="G21" s="2">
        <v>6000</v>
      </c>
      <c r="H21" s="2">
        <v>30</v>
      </c>
      <c r="I21" s="2" t="s">
        <v>76</v>
      </c>
    </row>
    <row r="22" spans="1:9" ht="30" hidden="1" customHeight="1">
      <c r="A22" s="2" t="s">
        <v>24</v>
      </c>
      <c r="B22" s="3" t="s">
        <v>49</v>
      </c>
      <c r="C22" s="2" t="s">
        <v>59</v>
      </c>
      <c r="D22" s="2">
        <v>36</v>
      </c>
      <c r="E22" s="2">
        <v>3000</v>
      </c>
      <c r="F22" s="2">
        <v>300</v>
      </c>
      <c r="G22" s="2">
        <v>3000</v>
      </c>
      <c r="I22" s="2" t="s">
        <v>77</v>
      </c>
    </row>
    <row r="23" spans="1:9" ht="30" hidden="1" customHeight="1">
      <c r="A23" s="2" t="s">
        <v>25</v>
      </c>
      <c r="B23" s="3" t="s">
        <v>50</v>
      </c>
      <c r="C23" s="2" t="s">
        <v>59</v>
      </c>
      <c r="D23" s="2">
        <v>55</v>
      </c>
      <c r="E23" s="2">
        <v>5000</v>
      </c>
      <c r="F23" s="2">
        <v>400</v>
      </c>
      <c r="G23" s="2">
        <v>0</v>
      </c>
      <c r="H23" s="2">
        <v>30</v>
      </c>
      <c r="I23" s="2" t="s">
        <v>78</v>
      </c>
    </row>
    <row r="24" spans="1:9" ht="30" hidden="1" customHeight="1">
      <c r="A24" s="2" t="s">
        <v>26</v>
      </c>
      <c r="B24" s="3" t="s">
        <v>51</v>
      </c>
      <c r="C24" s="2" t="s">
        <v>59</v>
      </c>
      <c r="D24" s="2">
        <v>67</v>
      </c>
      <c r="E24" s="2">
        <v>10000</v>
      </c>
      <c r="F24" s="2">
        <v>783</v>
      </c>
      <c r="G24" s="2">
        <v>13000</v>
      </c>
      <c r="I24" s="2" t="s">
        <v>79</v>
      </c>
    </row>
    <row r="25" spans="1:9" ht="30" hidden="1" customHeight="1">
      <c r="A25" s="2" t="s">
        <v>27</v>
      </c>
      <c r="B25" s="3" t="s">
        <v>52</v>
      </c>
      <c r="C25" s="2" t="s">
        <v>59</v>
      </c>
      <c r="D25" s="2">
        <v>23</v>
      </c>
      <c r="E25" s="2">
        <v>4000</v>
      </c>
      <c r="F25" s="2">
        <v>310</v>
      </c>
      <c r="G25" s="2">
        <v>1500</v>
      </c>
      <c r="I25" s="2" t="s">
        <v>80</v>
      </c>
    </row>
    <row r="26" spans="1:9" ht="30" hidden="1" customHeight="1">
      <c r="A26" s="2" t="s">
        <v>28</v>
      </c>
      <c r="B26" s="3" t="s">
        <v>53</v>
      </c>
      <c r="C26" s="2" t="s">
        <v>59</v>
      </c>
      <c r="D26" s="2">
        <v>33</v>
      </c>
      <c r="E26" s="2">
        <v>8000</v>
      </c>
      <c r="F26" s="2">
        <v>400</v>
      </c>
      <c r="G26" s="2">
        <v>20000</v>
      </c>
      <c r="I26" s="2" t="s">
        <v>81</v>
      </c>
    </row>
    <row r="27" spans="1:9" ht="30" hidden="1" customHeight="1">
      <c r="A27" s="2" t="s">
        <v>29</v>
      </c>
      <c r="B27" s="3" t="s">
        <v>54</v>
      </c>
      <c r="C27" s="2" t="s">
        <v>59</v>
      </c>
      <c r="D27" s="2">
        <v>31</v>
      </c>
      <c r="E27" s="2">
        <v>5000</v>
      </c>
      <c r="F27" s="2">
        <v>400</v>
      </c>
      <c r="G27" s="2">
        <v>0</v>
      </c>
      <c r="I27" s="2" t="s">
        <v>82</v>
      </c>
    </row>
    <row r="28" spans="1:9" ht="30" hidden="1" customHeight="1">
      <c r="A28" s="2" t="s">
        <v>30</v>
      </c>
      <c r="B28" s="3" t="s">
        <v>55</v>
      </c>
      <c r="C28" s="2" t="s">
        <v>59</v>
      </c>
      <c r="D28" s="2">
        <v>31</v>
      </c>
      <c r="E28" s="2">
        <v>16000</v>
      </c>
      <c r="F28" s="2">
        <v>1480</v>
      </c>
      <c r="G28" s="2">
        <v>0</v>
      </c>
    </row>
    <row r="29" spans="1:9" ht="30" hidden="1" customHeight="1">
      <c r="A29" s="2" t="s">
        <v>31</v>
      </c>
      <c r="B29" s="3" t="s">
        <v>56</v>
      </c>
      <c r="C29" s="2" t="s">
        <v>59</v>
      </c>
      <c r="D29" s="2">
        <v>17</v>
      </c>
      <c r="E29" s="2">
        <v>3000</v>
      </c>
      <c r="F29" s="2">
        <v>240</v>
      </c>
      <c r="G29" s="2">
        <v>5000</v>
      </c>
      <c r="I29" s="2" t="s">
        <v>83</v>
      </c>
    </row>
    <row r="30" spans="1:9" s="5" customFormat="1" ht="30" hidden="1" customHeight="1">
      <c r="A30" s="5" t="s">
        <v>32</v>
      </c>
      <c r="B30" s="6" t="s">
        <v>57</v>
      </c>
      <c r="C30" s="5" t="s">
        <v>59</v>
      </c>
      <c r="D30" s="5">
        <v>25</v>
      </c>
      <c r="E30" s="5">
        <v>3000</v>
      </c>
      <c r="F30" s="5">
        <v>230</v>
      </c>
      <c r="G30" s="5">
        <v>8000</v>
      </c>
      <c r="H30" s="5">
        <v>10</v>
      </c>
      <c r="I30" s="5" t="s">
        <v>204</v>
      </c>
    </row>
    <row r="31" spans="1:9" ht="30" hidden="1" customHeight="1">
      <c r="A31" s="2" t="s">
        <v>33</v>
      </c>
      <c r="B31" s="3" t="s">
        <v>58</v>
      </c>
      <c r="C31" s="2" t="s">
        <v>59</v>
      </c>
      <c r="D31" s="2">
        <v>50</v>
      </c>
      <c r="E31" s="2">
        <v>10000</v>
      </c>
      <c r="F31" s="2">
        <v>1000</v>
      </c>
      <c r="G31" s="2">
        <v>25000</v>
      </c>
      <c r="I31" s="2" t="s">
        <v>84</v>
      </c>
    </row>
    <row r="32" spans="1:9" ht="30" hidden="1" customHeight="1">
      <c r="B32" s="3"/>
    </row>
    <row r="33" spans="1:10" ht="30" hidden="1" customHeight="1">
      <c r="A33" s="2" t="s">
        <v>172</v>
      </c>
    </row>
    <row r="34" spans="1:10" ht="30" hidden="1" customHeight="1">
      <c r="A34" s="4" t="s">
        <v>0</v>
      </c>
      <c r="B34" s="4" t="s">
        <v>86</v>
      </c>
      <c r="C34" s="4" t="s">
        <v>2</v>
      </c>
      <c r="D34" s="4" t="s">
        <v>3</v>
      </c>
      <c r="E34" s="4" t="s">
        <v>4</v>
      </c>
      <c r="F34" s="4" t="s">
        <v>5</v>
      </c>
      <c r="G34" s="4" t="s">
        <v>6</v>
      </c>
      <c r="H34" s="4" t="s">
        <v>7</v>
      </c>
      <c r="I34" s="4" t="s">
        <v>8</v>
      </c>
      <c r="J34" s="4"/>
    </row>
    <row r="35" spans="1:10" ht="30" hidden="1" customHeight="1">
      <c r="A35" s="2" t="s">
        <v>87</v>
      </c>
      <c r="B35" s="2" t="s">
        <v>88</v>
      </c>
      <c r="C35" s="2" t="s">
        <v>59</v>
      </c>
      <c r="D35" s="2">
        <v>30</v>
      </c>
      <c r="E35" s="2">
        <v>6000</v>
      </c>
      <c r="F35" s="2">
        <v>350</v>
      </c>
      <c r="G35" s="2">
        <v>3000</v>
      </c>
      <c r="I35" s="2" t="s">
        <v>89</v>
      </c>
    </row>
    <row r="36" spans="1:10" ht="30" hidden="1" customHeight="1">
      <c r="A36" s="2" t="s">
        <v>90</v>
      </c>
      <c r="B36" s="2" t="s">
        <v>91</v>
      </c>
      <c r="C36" s="2" t="s">
        <v>59</v>
      </c>
      <c r="D36" s="2">
        <v>20</v>
      </c>
      <c r="E36" s="2">
        <v>2500</v>
      </c>
      <c r="F36" s="2">
        <v>243</v>
      </c>
      <c r="G36" s="2">
        <v>4500</v>
      </c>
      <c r="I36" s="2" t="s">
        <v>92</v>
      </c>
    </row>
    <row r="37" spans="1:10" ht="30" hidden="1" customHeight="1">
      <c r="A37" s="2" t="s">
        <v>93</v>
      </c>
      <c r="B37" s="2" t="s">
        <v>94</v>
      </c>
      <c r="C37" s="2" t="s">
        <v>200</v>
      </c>
      <c r="D37" s="2">
        <v>32</v>
      </c>
      <c r="E37" s="2">
        <v>2000</v>
      </c>
      <c r="F37" s="2">
        <v>320</v>
      </c>
      <c r="G37" s="2">
        <v>2000</v>
      </c>
      <c r="I37" s="2" t="s">
        <v>95</v>
      </c>
    </row>
    <row r="38" spans="1:10" ht="30" hidden="1" customHeight="1">
      <c r="A38" s="2" t="s">
        <v>96</v>
      </c>
      <c r="B38" s="2" t="s">
        <v>97</v>
      </c>
      <c r="C38" s="2" t="s">
        <v>59</v>
      </c>
      <c r="D38" s="2">
        <v>30</v>
      </c>
      <c r="E38" s="2">
        <v>6000</v>
      </c>
      <c r="F38" s="2">
        <v>350</v>
      </c>
      <c r="G38" s="2">
        <v>5000</v>
      </c>
      <c r="I38" s="2" t="s">
        <v>98</v>
      </c>
    </row>
    <row r="39" spans="1:10" ht="30" hidden="1" customHeight="1">
      <c r="A39" s="2" t="s">
        <v>99</v>
      </c>
      <c r="B39" s="2" t="s">
        <v>100</v>
      </c>
      <c r="C39" s="2" t="s">
        <v>59</v>
      </c>
      <c r="D39" s="2">
        <v>17</v>
      </c>
      <c r="E39" s="2">
        <v>3000</v>
      </c>
      <c r="F39" s="2">
        <v>200</v>
      </c>
      <c r="G39" s="2">
        <v>2000</v>
      </c>
      <c r="I39" s="2" t="s">
        <v>101</v>
      </c>
    </row>
    <row r="40" spans="1:10" ht="30" hidden="1" customHeight="1">
      <c r="A40" s="2" t="s">
        <v>102</v>
      </c>
      <c r="B40" s="2" t="s">
        <v>103</v>
      </c>
      <c r="C40" s="2" t="s">
        <v>59</v>
      </c>
      <c r="D40" s="2">
        <v>20</v>
      </c>
      <c r="E40" s="2">
        <v>2500</v>
      </c>
      <c r="F40" s="2">
        <v>200</v>
      </c>
      <c r="G40" s="2">
        <v>2000</v>
      </c>
      <c r="I40" s="2" t="s">
        <v>104</v>
      </c>
    </row>
    <row r="41" spans="1:10" ht="30" hidden="1" customHeight="1">
      <c r="A41" s="2" t="s">
        <v>105</v>
      </c>
      <c r="B41" s="2" t="s">
        <v>106</v>
      </c>
      <c r="C41" s="2" t="s">
        <v>59</v>
      </c>
      <c r="D41" s="2">
        <v>13</v>
      </c>
      <c r="E41" s="2">
        <v>4000</v>
      </c>
      <c r="F41" s="2">
        <v>170</v>
      </c>
      <c r="G41" s="2">
        <v>0</v>
      </c>
      <c r="I41" s="2" t="s">
        <v>107</v>
      </c>
    </row>
    <row r="42" spans="1:10" ht="30" hidden="1" customHeight="1">
      <c r="A42" s="2" t="s">
        <v>108</v>
      </c>
      <c r="B42" s="2" t="s">
        <v>109</v>
      </c>
      <c r="C42" s="2" t="s">
        <v>110</v>
      </c>
      <c r="D42" s="2">
        <v>50</v>
      </c>
      <c r="E42" s="2">
        <v>10000</v>
      </c>
      <c r="F42" s="2">
        <v>525</v>
      </c>
      <c r="G42" s="2">
        <v>0</v>
      </c>
      <c r="I42" s="2" t="s">
        <v>111</v>
      </c>
    </row>
    <row r="43" spans="1:10" ht="30" hidden="1" customHeight="1">
      <c r="A43" s="2" t="s">
        <v>112</v>
      </c>
      <c r="B43" s="2" t="s">
        <v>113</v>
      </c>
      <c r="C43" s="2" t="s">
        <v>114</v>
      </c>
      <c r="D43" s="2">
        <v>60</v>
      </c>
      <c r="E43" s="2">
        <v>3000</v>
      </c>
      <c r="F43" s="2">
        <v>270</v>
      </c>
      <c r="G43" s="2">
        <v>10000</v>
      </c>
      <c r="I43" s="2" t="s">
        <v>115</v>
      </c>
    </row>
    <row r="44" spans="1:10" ht="30" hidden="1" customHeight="1">
      <c r="A44" s="2" t="s">
        <v>116</v>
      </c>
      <c r="B44" s="2" t="s">
        <v>117</v>
      </c>
      <c r="C44" s="2" t="s">
        <v>59</v>
      </c>
      <c r="D44" s="2">
        <v>24</v>
      </c>
      <c r="E44" s="2">
        <v>4500</v>
      </c>
      <c r="F44" s="2">
        <v>330</v>
      </c>
      <c r="G44" s="2">
        <v>10000</v>
      </c>
      <c r="I44" s="2" t="s">
        <v>118</v>
      </c>
    </row>
    <row r="45" spans="1:10" ht="30" hidden="1" customHeight="1">
      <c r="A45" s="2" t="s">
        <v>119</v>
      </c>
      <c r="B45" s="2" t="s">
        <v>120</v>
      </c>
      <c r="C45" s="2" t="s">
        <v>59</v>
      </c>
      <c r="D45" s="2">
        <v>25</v>
      </c>
      <c r="E45" s="2">
        <v>4500</v>
      </c>
      <c r="F45" s="2">
        <v>290</v>
      </c>
      <c r="G45" s="2">
        <v>7500</v>
      </c>
      <c r="I45" s="2" t="s">
        <v>121</v>
      </c>
    </row>
    <row r="46" spans="1:10" ht="30" hidden="1" customHeight="1">
      <c r="A46" s="2" t="s">
        <v>122</v>
      </c>
      <c r="B46" s="2" t="s">
        <v>123</v>
      </c>
      <c r="C46" s="2" t="s">
        <v>59</v>
      </c>
      <c r="D46" s="2">
        <v>45</v>
      </c>
      <c r="E46" s="2">
        <v>8000</v>
      </c>
      <c r="F46" s="2">
        <v>490</v>
      </c>
      <c r="G46" s="2">
        <v>8000</v>
      </c>
      <c r="H46" s="2">
        <v>25</v>
      </c>
      <c r="I46" s="2" t="s">
        <v>124</v>
      </c>
    </row>
    <row r="47" spans="1:10" ht="30" hidden="1" customHeight="1">
      <c r="A47" s="2" t="s">
        <v>125</v>
      </c>
      <c r="B47" s="2" t="s">
        <v>126</v>
      </c>
      <c r="C47" s="2" t="s">
        <v>59</v>
      </c>
      <c r="D47" s="2">
        <v>30</v>
      </c>
      <c r="E47" s="2">
        <v>4000</v>
      </c>
      <c r="F47" s="2">
        <v>320</v>
      </c>
      <c r="G47" s="2">
        <v>10000</v>
      </c>
      <c r="H47" s="2">
        <v>20</v>
      </c>
      <c r="I47" s="2" t="s">
        <v>127</v>
      </c>
    </row>
    <row r="48" spans="1:10" ht="30" hidden="1" customHeight="1">
      <c r="A48" s="2" t="s">
        <v>128</v>
      </c>
      <c r="B48" s="2" t="s">
        <v>129</v>
      </c>
      <c r="C48" s="2" t="s">
        <v>59</v>
      </c>
      <c r="D48" s="2">
        <v>25</v>
      </c>
      <c r="E48" s="2">
        <v>3000</v>
      </c>
      <c r="F48" s="2">
        <v>300</v>
      </c>
      <c r="G48" s="2">
        <v>7000</v>
      </c>
      <c r="H48" s="2">
        <v>20</v>
      </c>
      <c r="I48" s="2" t="s">
        <v>130</v>
      </c>
    </row>
    <row r="49" spans="1:9" ht="30" hidden="1" customHeight="1">
      <c r="A49" s="2" t="s">
        <v>131</v>
      </c>
      <c r="B49" s="2" t="s">
        <v>132</v>
      </c>
      <c r="C49" s="2" t="s">
        <v>59</v>
      </c>
      <c r="D49" s="2">
        <v>28</v>
      </c>
      <c r="E49" s="2">
        <v>3000</v>
      </c>
      <c r="F49" s="2">
        <v>270</v>
      </c>
      <c r="G49" s="2">
        <v>10000</v>
      </c>
      <c r="H49" s="2">
        <v>0</v>
      </c>
      <c r="I49" s="2" t="s">
        <v>133</v>
      </c>
    </row>
    <row r="50" spans="1:9" ht="30" hidden="1" customHeight="1">
      <c r="A50" s="2" t="s">
        <v>134</v>
      </c>
      <c r="B50" s="2" t="s">
        <v>135</v>
      </c>
      <c r="C50" s="2" t="s">
        <v>59</v>
      </c>
      <c r="D50" s="2">
        <v>30</v>
      </c>
      <c r="E50" s="2">
        <v>5000</v>
      </c>
      <c r="F50" s="2">
        <v>270</v>
      </c>
      <c r="G50" s="2">
        <v>2000</v>
      </c>
      <c r="H50" s="2">
        <v>15</v>
      </c>
      <c r="I50" s="2" t="s">
        <v>136</v>
      </c>
    </row>
    <row r="51" spans="1:9" ht="30" hidden="1" customHeight="1">
      <c r="A51" s="2" t="s">
        <v>137</v>
      </c>
      <c r="B51" s="2" t="s">
        <v>138</v>
      </c>
      <c r="C51" s="2" t="s">
        <v>59</v>
      </c>
      <c r="D51" s="2">
        <v>27</v>
      </c>
      <c r="E51" s="2">
        <v>3000</v>
      </c>
      <c r="F51" s="2">
        <v>220</v>
      </c>
      <c r="G51" s="2">
        <v>5000</v>
      </c>
      <c r="H51" s="2">
        <v>15</v>
      </c>
      <c r="I51" s="2" t="s">
        <v>139</v>
      </c>
    </row>
    <row r="52" spans="1:9" ht="30" hidden="1" customHeight="1">
      <c r="A52" s="2" t="s">
        <v>140</v>
      </c>
      <c r="B52" s="7" t="s">
        <v>173</v>
      </c>
      <c r="C52" s="2" t="s">
        <v>59</v>
      </c>
      <c r="D52" s="2">
        <v>20</v>
      </c>
      <c r="E52" s="2">
        <v>5000</v>
      </c>
      <c r="F52" s="2">
        <v>330</v>
      </c>
      <c r="G52" s="2">
        <v>3000</v>
      </c>
      <c r="I52" s="2" t="s">
        <v>141</v>
      </c>
    </row>
    <row r="53" spans="1:9" ht="30" hidden="1" customHeight="1">
      <c r="A53" s="2" t="s">
        <v>142</v>
      </c>
      <c r="B53" s="2" t="s">
        <v>143</v>
      </c>
      <c r="C53" s="2" t="s">
        <v>59</v>
      </c>
      <c r="D53" s="2">
        <v>45</v>
      </c>
      <c r="E53" s="2">
        <v>5000</v>
      </c>
      <c r="F53" s="2">
        <v>400</v>
      </c>
      <c r="G53" s="2">
        <v>0</v>
      </c>
      <c r="I53" s="2" t="s">
        <v>144</v>
      </c>
    </row>
    <row r="54" spans="1:9" ht="30" hidden="1" customHeight="1">
      <c r="A54" s="2" t="s">
        <v>145</v>
      </c>
      <c r="B54" s="2" t="s">
        <v>146</v>
      </c>
      <c r="C54" s="2" t="s">
        <v>59</v>
      </c>
      <c r="D54" s="2">
        <v>50</v>
      </c>
      <c r="E54" s="2">
        <v>10000</v>
      </c>
      <c r="F54" s="2">
        <v>550</v>
      </c>
      <c r="G54" s="2">
        <v>0</v>
      </c>
      <c r="I54" s="2" t="s">
        <v>147</v>
      </c>
    </row>
    <row r="55" spans="1:9" ht="30" hidden="1" customHeight="1">
      <c r="A55" s="2" t="s">
        <v>148</v>
      </c>
      <c r="B55" s="2" t="s">
        <v>149</v>
      </c>
      <c r="C55" s="2" t="s">
        <v>59</v>
      </c>
      <c r="D55" s="2">
        <v>30</v>
      </c>
      <c r="E55" s="2">
        <v>3500</v>
      </c>
      <c r="F55" s="2">
        <v>320</v>
      </c>
      <c r="G55" s="2">
        <v>5000</v>
      </c>
      <c r="I55" s="2" t="s">
        <v>150</v>
      </c>
    </row>
    <row r="56" spans="1:9" ht="30" hidden="1" customHeight="1">
      <c r="A56" s="2" t="s">
        <v>151</v>
      </c>
      <c r="B56" s="2" t="s">
        <v>152</v>
      </c>
      <c r="C56" s="2" t="s">
        <v>59</v>
      </c>
      <c r="D56" s="2">
        <v>30</v>
      </c>
      <c r="E56" s="2">
        <v>4800</v>
      </c>
      <c r="F56" s="2">
        <v>280</v>
      </c>
      <c r="G56" s="2">
        <v>7000</v>
      </c>
      <c r="I56" s="2" t="s">
        <v>153</v>
      </c>
    </row>
    <row r="57" spans="1:9" ht="30" hidden="1" customHeight="1">
      <c r="A57" s="2" t="s">
        <v>154</v>
      </c>
      <c r="B57" s="2" t="s">
        <v>155</v>
      </c>
      <c r="C57" s="2" t="s">
        <v>59</v>
      </c>
      <c r="D57" s="2">
        <v>30</v>
      </c>
      <c r="E57" s="2">
        <v>5000</v>
      </c>
      <c r="F57" s="2">
        <v>355</v>
      </c>
      <c r="G57" s="2">
        <v>10000</v>
      </c>
      <c r="I57" s="2" t="s">
        <v>156</v>
      </c>
    </row>
    <row r="58" spans="1:9" ht="30" hidden="1" customHeight="1">
      <c r="A58" s="2" t="s">
        <v>157</v>
      </c>
      <c r="B58" s="2" t="s">
        <v>158</v>
      </c>
      <c r="C58" s="2" t="s">
        <v>59</v>
      </c>
      <c r="D58" s="2">
        <v>27</v>
      </c>
      <c r="E58" s="2">
        <v>6000</v>
      </c>
      <c r="F58" s="2">
        <v>380</v>
      </c>
      <c r="G58" s="2">
        <v>6000</v>
      </c>
      <c r="I58" s="2" t="s">
        <v>159</v>
      </c>
    </row>
    <row r="59" spans="1:9" ht="30" hidden="1" customHeight="1">
      <c r="A59" s="2" t="s">
        <v>160</v>
      </c>
      <c r="B59" s="2" t="s">
        <v>161</v>
      </c>
      <c r="C59" s="2" t="s">
        <v>59</v>
      </c>
      <c r="D59" s="2">
        <v>27</v>
      </c>
      <c r="E59" s="2">
        <v>5000</v>
      </c>
      <c r="F59" s="2">
        <v>350</v>
      </c>
      <c r="G59" s="2">
        <v>0</v>
      </c>
      <c r="I59" s="2" t="s">
        <v>162</v>
      </c>
    </row>
    <row r="60" spans="1:9" ht="30" hidden="1" customHeight="1">
      <c r="A60" s="2" t="s">
        <v>163</v>
      </c>
      <c r="B60" s="2" t="s">
        <v>164</v>
      </c>
      <c r="C60" s="2" t="s">
        <v>59</v>
      </c>
      <c r="D60" s="2">
        <v>29</v>
      </c>
      <c r="E60" s="2">
        <v>8000</v>
      </c>
      <c r="F60" s="2">
        <v>400</v>
      </c>
      <c r="G60" s="2">
        <v>0</v>
      </c>
      <c r="I60" s="2" t="s">
        <v>165</v>
      </c>
    </row>
    <row r="61" spans="1:9" ht="30" hidden="1" customHeight="1">
      <c r="A61" s="2" t="s">
        <v>166</v>
      </c>
      <c r="B61" s="2" t="s">
        <v>167</v>
      </c>
      <c r="C61" s="2" t="s">
        <v>59</v>
      </c>
      <c r="D61" s="2">
        <v>35</v>
      </c>
      <c r="E61" s="2">
        <v>3000</v>
      </c>
      <c r="F61" s="2">
        <v>223</v>
      </c>
      <c r="G61" s="2">
        <v>3000</v>
      </c>
      <c r="H61" s="2">
        <v>0</v>
      </c>
      <c r="I61" s="2" t="s">
        <v>168</v>
      </c>
    </row>
    <row r="62" spans="1:9" ht="30" hidden="1" customHeight="1">
      <c r="A62" s="2" t="s">
        <v>169</v>
      </c>
      <c r="B62" s="2" t="s">
        <v>170</v>
      </c>
      <c r="C62" s="2" t="s">
        <v>59</v>
      </c>
      <c r="D62" s="2">
        <v>32</v>
      </c>
      <c r="E62" s="2">
        <v>3000</v>
      </c>
      <c r="F62" s="2">
        <v>290</v>
      </c>
      <c r="G62" s="2">
        <v>2000</v>
      </c>
      <c r="I62" s="2" t="s">
        <v>171</v>
      </c>
    </row>
    <row r="64" spans="1:9" ht="30" hidden="1" customHeight="1">
      <c r="A64" s="2" t="s">
        <v>202</v>
      </c>
    </row>
    <row r="65" spans="1:9" ht="30" hidden="1" customHeight="1">
      <c r="A65" s="2" t="s">
        <v>0</v>
      </c>
      <c r="B65" s="2" t="s">
        <v>86</v>
      </c>
      <c r="C65" s="2" t="s">
        <v>2</v>
      </c>
      <c r="D65" s="2" t="s">
        <v>3</v>
      </c>
      <c r="E65" s="2" t="s">
        <v>4</v>
      </c>
      <c r="F65" s="2" t="s">
        <v>5</v>
      </c>
      <c r="G65" s="2" t="s">
        <v>6</v>
      </c>
      <c r="H65" s="2" t="s">
        <v>7</v>
      </c>
      <c r="I65" s="2" t="s">
        <v>8</v>
      </c>
    </row>
    <row r="66" spans="1:9" ht="30" hidden="1" customHeight="1">
      <c r="A66" s="2" t="s">
        <v>174</v>
      </c>
      <c r="B66" s="2" t="s">
        <v>175</v>
      </c>
      <c r="C66" s="2" t="s">
        <v>59</v>
      </c>
      <c r="D66" s="2">
        <v>42</v>
      </c>
      <c r="E66" s="2">
        <v>5500</v>
      </c>
      <c r="F66" s="2">
        <v>330</v>
      </c>
      <c r="G66" s="2">
        <v>12000</v>
      </c>
      <c r="I66" s="2" t="s">
        <v>176</v>
      </c>
    </row>
    <row r="67" spans="1:9" ht="30" hidden="1" customHeight="1">
      <c r="A67" s="2" t="s">
        <v>177</v>
      </c>
      <c r="B67" s="2" t="s">
        <v>178</v>
      </c>
      <c r="C67" s="2" t="s">
        <v>59</v>
      </c>
      <c r="D67" s="2">
        <v>30</v>
      </c>
      <c r="E67" s="2">
        <v>1500</v>
      </c>
      <c r="F67" s="2">
        <v>180</v>
      </c>
      <c r="G67" s="2">
        <v>7000</v>
      </c>
      <c r="I67" s="2" t="s">
        <v>179</v>
      </c>
    </row>
    <row r="68" spans="1:9" ht="30" hidden="1" customHeight="1">
      <c r="A68" s="2" t="s">
        <v>180</v>
      </c>
      <c r="B68" s="2" t="s">
        <v>181</v>
      </c>
      <c r="C68" s="2" t="s">
        <v>59</v>
      </c>
      <c r="D68" s="2">
        <v>25</v>
      </c>
      <c r="E68" s="2">
        <v>10000</v>
      </c>
      <c r="F68" s="2">
        <v>530</v>
      </c>
      <c r="G68" s="2">
        <v>0</v>
      </c>
      <c r="I68" s="2" t="s">
        <v>203</v>
      </c>
    </row>
    <row r="69" spans="1:9" ht="30" hidden="1" customHeight="1">
      <c r="A69" s="2" t="s">
        <v>182</v>
      </c>
      <c r="B69" s="2" t="s">
        <v>183</v>
      </c>
      <c r="C69" s="2" t="s">
        <v>59</v>
      </c>
      <c r="D69" s="2">
        <v>14</v>
      </c>
      <c r="E69" s="2">
        <v>2000</v>
      </c>
      <c r="F69" s="2">
        <v>100</v>
      </c>
      <c r="G69" s="2">
        <v>0</v>
      </c>
      <c r="I69" s="2" t="s">
        <v>184</v>
      </c>
    </row>
    <row r="70" spans="1:9" ht="30" hidden="1" customHeight="1">
      <c r="A70" s="2" t="s">
        <v>185</v>
      </c>
      <c r="B70" s="2" t="s">
        <v>186</v>
      </c>
      <c r="C70" s="2" t="s">
        <v>59</v>
      </c>
      <c r="D70" s="2">
        <v>27</v>
      </c>
      <c r="E70" s="2">
        <v>4000</v>
      </c>
      <c r="F70" s="2">
        <v>230</v>
      </c>
      <c r="G70" s="2">
        <v>0</v>
      </c>
      <c r="I70" s="2" t="s">
        <v>187</v>
      </c>
    </row>
    <row r="71" spans="1:9" ht="30" hidden="1" customHeight="1">
      <c r="A71" s="2" t="s">
        <v>188</v>
      </c>
      <c r="B71" s="2" t="s">
        <v>189</v>
      </c>
      <c r="C71" s="2" t="s">
        <v>59</v>
      </c>
      <c r="D71" s="2">
        <v>37</v>
      </c>
      <c r="E71" s="2">
        <v>5000</v>
      </c>
      <c r="F71" s="2">
        <v>350</v>
      </c>
      <c r="G71" s="2">
        <v>10000</v>
      </c>
      <c r="I71" s="2" t="s">
        <v>190</v>
      </c>
    </row>
    <row r="72" spans="1:9" ht="30" hidden="1" customHeight="1">
      <c r="A72" s="2" t="s">
        <v>191</v>
      </c>
      <c r="B72" s="2" t="s">
        <v>192</v>
      </c>
      <c r="C72" s="2" t="s">
        <v>200</v>
      </c>
      <c r="D72" s="2">
        <v>20</v>
      </c>
      <c r="E72" s="2">
        <v>5000</v>
      </c>
      <c r="F72" s="2">
        <v>240</v>
      </c>
      <c r="G72" s="2">
        <v>5000</v>
      </c>
      <c r="I72" s="2" t="s">
        <v>193</v>
      </c>
    </row>
    <row r="73" spans="1:9" ht="30" hidden="1" customHeight="1">
      <c r="A73" s="2" t="s">
        <v>194</v>
      </c>
      <c r="B73" s="7" t="s">
        <v>288</v>
      </c>
      <c r="C73" s="2" t="s">
        <v>195</v>
      </c>
      <c r="D73" s="2">
        <v>40</v>
      </c>
      <c r="E73" s="2">
        <v>6000</v>
      </c>
      <c r="F73" s="2">
        <v>600</v>
      </c>
      <c r="G73" s="2">
        <v>0</v>
      </c>
      <c r="I73" s="2" t="s">
        <v>196</v>
      </c>
    </row>
    <row r="74" spans="1:9" ht="30" hidden="1" customHeight="1">
      <c r="A74" s="2" t="s">
        <v>197</v>
      </c>
      <c r="B74" s="2" t="s">
        <v>198</v>
      </c>
      <c r="C74" s="2" t="s">
        <v>59</v>
      </c>
      <c r="D74" s="2">
        <v>15</v>
      </c>
      <c r="E74" s="2">
        <v>10000</v>
      </c>
      <c r="F74" s="2">
        <v>500</v>
      </c>
      <c r="G74" s="2">
        <v>0</v>
      </c>
      <c r="I74" s="2" t="s">
        <v>199</v>
      </c>
    </row>
    <row r="75" spans="1:9" ht="30" hidden="1" customHeight="1">
      <c r="A75" s="8" t="s">
        <v>205</v>
      </c>
      <c r="B75" s="9" t="s">
        <v>206</v>
      </c>
      <c r="C75" s="8" t="s">
        <v>59</v>
      </c>
      <c r="D75" s="8">
        <v>23</v>
      </c>
      <c r="E75" s="8">
        <v>5000</v>
      </c>
      <c r="F75" s="8">
        <v>250</v>
      </c>
      <c r="G75" s="8">
        <v>1500</v>
      </c>
      <c r="H75" s="8">
        <v>40</v>
      </c>
      <c r="I75" s="8" t="s">
        <v>207</v>
      </c>
    </row>
    <row r="76" spans="1:9" ht="30" hidden="1" customHeight="1">
      <c r="A76" s="8" t="s">
        <v>208</v>
      </c>
      <c r="B76" s="9" t="s">
        <v>209</v>
      </c>
      <c r="C76" s="8" t="s">
        <v>59</v>
      </c>
      <c r="D76" s="8">
        <v>17</v>
      </c>
      <c r="E76" s="8">
        <v>2000</v>
      </c>
      <c r="F76" s="8">
        <v>150</v>
      </c>
      <c r="G76" s="8">
        <v>6000</v>
      </c>
      <c r="H76" s="8" t="s">
        <v>210</v>
      </c>
      <c r="I76" s="8" t="s">
        <v>211</v>
      </c>
    </row>
    <row r="77" spans="1:9" ht="30" hidden="1" customHeight="1">
      <c r="A77" s="8" t="s">
        <v>212</v>
      </c>
      <c r="B77" s="9" t="s">
        <v>213</v>
      </c>
      <c r="C77" s="8" t="s">
        <v>59</v>
      </c>
      <c r="D77" s="8">
        <v>25</v>
      </c>
      <c r="E77" s="8">
        <v>3500</v>
      </c>
      <c r="F77" s="8">
        <v>240</v>
      </c>
      <c r="G77" s="8">
        <v>0</v>
      </c>
      <c r="H77" s="8">
        <v>20</v>
      </c>
      <c r="I77" s="8" t="s">
        <v>214</v>
      </c>
    </row>
    <row r="78" spans="1:9" ht="30" hidden="1" customHeight="1">
      <c r="A78" s="8" t="s">
        <v>215</v>
      </c>
      <c r="B78" s="9" t="s">
        <v>216</v>
      </c>
      <c r="C78" s="8" t="s">
        <v>59</v>
      </c>
      <c r="D78" s="8">
        <v>6</v>
      </c>
      <c r="E78" s="8">
        <v>4000</v>
      </c>
      <c r="F78" s="8">
        <v>240</v>
      </c>
      <c r="G78" s="8">
        <v>2000</v>
      </c>
      <c r="H78" s="8" t="s">
        <v>210</v>
      </c>
      <c r="I78" s="8" t="s">
        <v>217</v>
      </c>
    </row>
    <row r="79" spans="1:9" ht="30" hidden="1" customHeight="1">
      <c r="A79" s="8" t="s">
        <v>218</v>
      </c>
      <c r="B79" s="9" t="s">
        <v>219</v>
      </c>
      <c r="C79" s="8" t="s">
        <v>59</v>
      </c>
      <c r="D79" s="8">
        <v>40</v>
      </c>
      <c r="E79" s="8">
        <v>7600</v>
      </c>
      <c r="F79" s="8">
        <v>435</v>
      </c>
      <c r="G79" s="8">
        <v>6000</v>
      </c>
      <c r="H79" s="8" t="s">
        <v>210</v>
      </c>
      <c r="I79" s="8" t="s">
        <v>220</v>
      </c>
    </row>
    <row r="80" spans="1:9" ht="30" hidden="1" customHeight="1">
      <c r="A80" s="8" t="s">
        <v>221</v>
      </c>
      <c r="B80" s="9" t="s">
        <v>222</v>
      </c>
      <c r="C80" s="8" t="s">
        <v>59</v>
      </c>
      <c r="D80" s="8">
        <v>40</v>
      </c>
      <c r="E80" s="8">
        <v>6000</v>
      </c>
      <c r="F80" s="8">
        <v>555</v>
      </c>
      <c r="G80" s="8">
        <v>10000</v>
      </c>
      <c r="H80" s="8" t="s">
        <v>223</v>
      </c>
      <c r="I80" s="8" t="s">
        <v>224</v>
      </c>
    </row>
    <row r="81" spans="1:9" ht="30" hidden="1" customHeight="1">
      <c r="A81" s="8" t="s">
        <v>225</v>
      </c>
      <c r="B81" s="9" t="s">
        <v>226</v>
      </c>
      <c r="C81" s="8" t="s">
        <v>59</v>
      </c>
      <c r="D81" s="8">
        <v>45</v>
      </c>
      <c r="E81" s="8">
        <v>10000</v>
      </c>
      <c r="F81" s="8">
        <v>350</v>
      </c>
      <c r="G81" s="8">
        <v>1000</v>
      </c>
      <c r="H81" s="8" t="s">
        <v>210</v>
      </c>
      <c r="I81" s="8" t="s">
        <v>227</v>
      </c>
    </row>
    <row r="82" spans="1:9" ht="30" hidden="1" customHeight="1">
      <c r="A82" s="2" t="s">
        <v>231</v>
      </c>
      <c r="B82" s="7" t="s">
        <v>267</v>
      </c>
      <c r="C82" s="2" t="s">
        <v>200</v>
      </c>
      <c r="D82" s="2">
        <v>38</v>
      </c>
      <c r="E82" s="2">
        <v>10000</v>
      </c>
      <c r="F82" s="2">
        <v>680</v>
      </c>
      <c r="G82" s="2">
        <v>0</v>
      </c>
      <c r="I82" s="2" t="s">
        <v>235</v>
      </c>
    </row>
    <row r="83" spans="1:9" ht="30" hidden="1" customHeight="1">
      <c r="A83" s="2" t="s">
        <v>231</v>
      </c>
      <c r="B83" s="7" t="s">
        <v>267</v>
      </c>
      <c r="C83" s="2" t="s">
        <v>200</v>
      </c>
      <c r="D83" s="2">
        <v>30</v>
      </c>
      <c r="E83" s="2">
        <v>10000</v>
      </c>
      <c r="F83" s="2">
        <v>520</v>
      </c>
      <c r="G83" s="2">
        <v>0</v>
      </c>
      <c r="I83" s="2" t="s">
        <v>236</v>
      </c>
    </row>
    <row r="84" spans="1:9" ht="30" hidden="1" customHeight="1">
      <c r="A84" s="2" t="s">
        <v>232</v>
      </c>
      <c r="B84" s="7" t="s">
        <v>268</v>
      </c>
      <c r="C84" s="2" t="s">
        <v>59</v>
      </c>
      <c r="D84" s="2">
        <v>30</v>
      </c>
      <c r="E84" s="2">
        <v>10000</v>
      </c>
      <c r="F84" s="2">
        <v>600</v>
      </c>
      <c r="H84" s="2">
        <v>30</v>
      </c>
      <c r="I84" s="2" t="s">
        <v>237</v>
      </c>
    </row>
    <row r="85" spans="1:9" ht="30" hidden="1" customHeight="1">
      <c r="A85" s="2" t="s">
        <v>232</v>
      </c>
      <c r="B85" s="7" t="s">
        <v>270</v>
      </c>
      <c r="C85" s="2" t="s">
        <v>59</v>
      </c>
      <c r="D85" s="2">
        <v>20</v>
      </c>
      <c r="E85" s="2">
        <v>7000</v>
      </c>
      <c r="F85" s="2">
        <v>350</v>
      </c>
      <c r="H85" s="2">
        <v>30</v>
      </c>
      <c r="I85" s="2" t="s">
        <v>238</v>
      </c>
    </row>
    <row r="86" spans="1:9" ht="30" hidden="1" customHeight="1">
      <c r="A86" s="2" t="s">
        <v>232</v>
      </c>
      <c r="B86" s="7" t="s">
        <v>271</v>
      </c>
      <c r="C86" s="2" t="s">
        <v>59</v>
      </c>
      <c r="D86" s="2">
        <v>14.5</v>
      </c>
      <c r="E86" s="2">
        <v>3000</v>
      </c>
      <c r="F86" s="2">
        <v>200</v>
      </c>
      <c r="H86" s="2">
        <v>30</v>
      </c>
      <c r="I86" s="2" t="s">
        <v>228</v>
      </c>
    </row>
    <row r="87" spans="1:9" ht="30" hidden="1" customHeight="1">
      <c r="A87" s="2" t="s">
        <v>232</v>
      </c>
      <c r="B87" s="7" t="s">
        <v>272</v>
      </c>
      <c r="C87" s="2" t="s">
        <v>59</v>
      </c>
      <c r="D87" s="2">
        <v>19</v>
      </c>
      <c r="E87" s="2">
        <v>5000</v>
      </c>
      <c r="F87" s="2">
        <v>300</v>
      </c>
      <c r="H87" s="2">
        <v>30</v>
      </c>
      <c r="I87" s="2" t="s">
        <v>229</v>
      </c>
    </row>
    <row r="88" spans="1:9" ht="30" hidden="1" customHeight="1">
      <c r="A88" s="2" t="s">
        <v>232</v>
      </c>
      <c r="B88" s="7" t="s">
        <v>287</v>
      </c>
      <c r="C88" s="2" t="s">
        <v>59</v>
      </c>
      <c r="D88" s="2">
        <v>33.5</v>
      </c>
      <c r="E88" s="2">
        <v>8000</v>
      </c>
      <c r="F88" s="2">
        <v>500</v>
      </c>
      <c r="H88" s="2" t="s">
        <v>230</v>
      </c>
      <c r="I88" s="2" t="s">
        <v>239</v>
      </c>
    </row>
    <row r="89" spans="1:9" ht="30" hidden="1" customHeight="1">
      <c r="A89" s="2" t="s">
        <v>240</v>
      </c>
      <c r="B89" s="7" t="s">
        <v>269</v>
      </c>
      <c r="C89" s="2" t="s">
        <v>59</v>
      </c>
      <c r="D89" s="2">
        <v>43</v>
      </c>
      <c r="E89" s="2">
        <v>5000</v>
      </c>
      <c r="F89" s="2">
        <v>430</v>
      </c>
      <c r="G89" s="2">
        <v>0</v>
      </c>
      <c r="I89" s="2" t="s">
        <v>241</v>
      </c>
    </row>
    <row r="90" spans="1:9" ht="30" hidden="1" customHeight="1">
      <c r="A90" s="2" t="s">
        <v>240</v>
      </c>
      <c r="B90" s="7" t="s">
        <v>286</v>
      </c>
      <c r="C90" s="2" t="s">
        <v>59</v>
      </c>
      <c r="D90" s="2">
        <v>38</v>
      </c>
      <c r="E90" s="2">
        <v>5000</v>
      </c>
      <c r="F90" s="2">
        <v>380</v>
      </c>
      <c r="G90" s="2">
        <v>0</v>
      </c>
      <c r="I90" s="2" t="s">
        <v>242</v>
      </c>
    </row>
    <row r="91" spans="1:9" ht="30" hidden="1" customHeight="1">
      <c r="A91" s="2" t="s">
        <v>243</v>
      </c>
      <c r="B91" s="7" t="s">
        <v>285</v>
      </c>
      <c r="C91" s="2" t="s">
        <v>59</v>
      </c>
      <c r="D91" s="2">
        <v>38</v>
      </c>
      <c r="E91" s="2">
        <v>5000</v>
      </c>
      <c r="F91" s="2">
        <v>300</v>
      </c>
      <c r="G91" s="2">
        <v>0</v>
      </c>
      <c r="I91" s="2" t="s">
        <v>244</v>
      </c>
    </row>
    <row r="92" spans="1:9" ht="30" hidden="1" customHeight="1">
      <c r="A92" s="2" t="s">
        <v>245</v>
      </c>
      <c r="B92" s="7" t="s">
        <v>284</v>
      </c>
      <c r="C92" s="2" t="s">
        <v>59</v>
      </c>
      <c r="D92" s="2">
        <v>25</v>
      </c>
      <c r="E92" s="2">
        <v>6000</v>
      </c>
      <c r="F92" s="2">
        <v>350</v>
      </c>
      <c r="G92" s="2">
        <v>0</v>
      </c>
      <c r="I92" s="2" t="s">
        <v>246</v>
      </c>
    </row>
    <row r="93" spans="1:9" ht="30" hidden="1" customHeight="1">
      <c r="A93" s="2" t="s">
        <v>247</v>
      </c>
      <c r="B93" s="7" t="s">
        <v>283</v>
      </c>
      <c r="C93" s="2" t="s">
        <v>59</v>
      </c>
      <c r="D93" s="2">
        <v>12</v>
      </c>
      <c r="E93" s="2">
        <v>7000</v>
      </c>
      <c r="F93" s="2">
        <v>330</v>
      </c>
      <c r="G93" s="2">
        <v>5000</v>
      </c>
      <c r="I93" s="2" t="s">
        <v>248</v>
      </c>
    </row>
    <row r="94" spans="1:9" ht="30" hidden="1" customHeight="1">
      <c r="A94" s="2" t="s">
        <v>249</v>
      </c>
      <c r="B94" s="7" t="s">
        <v>282</v>
      </c>
      <c r="C94" s="2" t="s">
        <v>59</v>
      </c>
      <c r="D94" s="2">
        <v>34</v>
      </c>
      <c r="E94" s="2">
        <v>6000</v>
      </c>
      <c r="F94" s="2">
        <v>310</v>
      </c>
      <c r="G94" s="2">
        <v>0</v>
      </c>
      <c r="I94" s="2" t="s">
        <v>250</v>
      </c>
    </row>
    <row r="95" spans="1:9" ht="30" hidden="1" customHeight="1">
      <c r="A95" s="2" t="s">
        <v>251</v>
      </c>
      <c r="B95" s="7" t="s">
        <v>281</v>
      </c>
      <c r="C95" s="2" t="s">
        <v>200</v>
      </c>
      <c r="D95" s="2">
        <v>14.2</v>
      </c>
      <c r="E95" s="2">
        <v>5000</v>
      </c>
      <c r="F95" s="2">
        <v>390</v>
      </c>
      <c r="G95" s="2">
        <v>2000</v>
      </c>
      <c r="I95" s="2" t="s">
        <v>252</v>
      </c>
    </row>
    <row r="96" spans="1:9" ht="30" hidden="1" customHeight="1">
      <c r="A96" s="2" t="s">
        <v>253</v>
      </c>
      <c r="B96" s="7" t="s">
        <v>280</v>
      </c>
      <c r="C96" s="2" t="s">
        <v>59</v>
      </c>
      <c r="D96" s="2">
        <v>44</v>
      </c>
      <c r="E96" s="2">
        <v>5000</v>
      </c>
      <c r="F96" s="2">
        <v>500</v>
      </c>
      <c r="G96" s="2">
        <v>4000</v>
      </c>
      <c r="I96" s="2" t="s">
        <v>254</v>
      </c>
    </row>
    <row r="97" spans="1:9" ht="30" hidden="1" customHeight="1">
      <c r="A97" s="2" t="s">
        <v>255</v>
      </c>
      <c r="B97" s="7" t="s">
        <v>279</v>
      </c>
      <c r="C97" s="2" t="s">
        <v>59</v>
      </c>
      <c r="D97" s="2">
        <v>24</v>
      </c>
      <c r="E97" s="2">
        <v>4000</v>
      </c>
      <c r="F97" s="2">
        <v>300</v>
      </c>
      <c r="G97" s="2">
        <v>7500</v>
      </c>
      <c r="I97" s="2" t="s">
        <v>256</v>
      </c>
    </row>
    <row r="98" spans="1:9" ht="30" hidden="1" customHeight="1">
      <c r="A98" s="2" t="s">
        <v>257</v>
      </c>
      <c r="B98" s="7" t="s">
        <v>278</v>
      </c>
      <c r="C98" s="2" t="s">
        <v>59</v>
      </c>
      <c r="D98" s="2">
        <v>28</v>
      </c>
      <c r="E98" s="2">
        <v>5000</v>
      </c>
      <c r="F98" s="2">
        <v>390</v>
      </c>
      <c r="G98" s="2">
        <v>6000</v>
      </c>
      <c r="I98" s="2" t="s">
        <v>258</v>
      </c>
    </row>
    <row r="99" spans="1:9" ht="30" hidden="1" customHeight="1">
      <c r="A99" s="2" t="s">
        <v>259</v>
      </c>
      <c r="B99" s="7" t="s">
        <v>277</v>
      </c>
      <c r="C99" s="2" t="s">
        <v>59</v>
      </c>
      <c r="D99" s="2">
        <v>41</v>
      </c>
      <c r="E99" s="2">
        <v>5000</v>
      </c>
      <c r="F99" s="2">
        <v>350</v>
      </c>
      <c r="G99" s="2">
        <v>0</v>
      </c>
      <c r="I99" s="2" t="s">
        <v>260</v>
      </c>
    </row>
    <row r="100" spans="1:9" ht="30" hidden="1" customHeight="1">
      <c r="A100" s="2" t="s">
        <v>261</v>
      </c>
      <c r="B100" s="7" t="s">
        <v>276</v>
      </c>
      <c r="C100" s="2" t="s">
        <v>59</v>
      </c>
      <c r="D100" s="2">
        <v>24</v>
      </c>
      <c r="E100" s="2">
        <v>6000</v>
      </c>
      <c r="F100" s="2">
        <v>250</v>
      </c>
      <c r="G100" s="2">
        <v>0</v>
      </c>
      <c r="I100" s="2" t="s">
        <v>262</v>
      </c>
    </row>
    <row r="101" spans="1:9" ht="30" hidden="1" customHeight="1">
      <c r="A101" s="2" t="s">
        <v>263</v>
      </c>
      <c r="B101" s="7" t="s">
        <v>275</v>
      </c>
      <c r="C101" s="2" t="s">
        <v>59</v>
      </c>
      <c r="D101" s="2">
        <v>30</v>
      </c>
      <c r="E101" s="2">
        <v>5000</v>
      </c>
      <c r="F101" s="2">
        <v>280</v>
      </c>
      <c r="G101" s="2">
        <v>0</v>
      </c>
      <c r="I101" s="2" t="s">
        <v>264</v>
      </c>
    </row>
    <row r="102" spans="1:9" ht="30" hidden="1" customHeight="1">
      <c r="A102" s="2" t="s">
        <v>234</v>
      </c>
      <c r="B102" s="7" t="s">
        <v>274</v>
      </c>
      <c r="C102" s="2" t="s">
        <v>200</v>
      </c>
      <c r="D102" s="2">
        <v>38</v>
      </c>
      <c r="E102" s="2">
        <v>3000</v>
      </c>
      <c r="F102" s="2">
        <v>300</v>
      </c>
      <c r="G102" s="2">
        <v>5000</v>
      </c>
      <c r="I102" s="2" t="s">
        <v>265</v>
      </c>
    </row>
    <row r="103" spans="1:9" ht="30" hidden="1" customHeight="1">
      <c r="A103" s="2" t="s">
        <v>233</v>
      </c>
      <c r="B103" s="7" t="s">
        <v>273</v>
      </c>
      <c r="C103" s="2" t="s">
        <v>59</v>
      </c>
      <c r="D103" s="2">
        <v>30</v>
      </c>
      <c r="E103" s="2">
        <v>6000</v>
      </c>
      <c r="F103" s="2">
        <v>460</v>
      </c>
      <c r="G103" s="2">
        <v>12000</v>
      </c>
      <c r="I103" s="2" t="s">
        <v>266</v>
      </c>
    </row>
    <row r="104" spans="1:9" ht="30" hidden="1" customHeight="1">
      <c r="A104" s="2" t="s">
        <v>395</v>
      </c>
    </row>
    <row r="105" spans="1:9" ht="30" hidden="1" customHeight="1">
      <c r="A105" s="10" t="s">
        <v>0</v>
      </c>
      <c r="B105" s="10" t="s">
        <v>961</v>
      </c>
      <c r="C105" s="10" t="s">
        <v>289</v>
      </c>
      <c r="D105" s="10" t="s">
        <v>290</v>
      </c>
      <c r="E105" s="10" t="s">
        <v>4</v>
      </c>
      <c r="F105" s="10" t="s">
        <v>5</v>
      </c>
      <c r="G105" s="10" t="s">
        <v>6</v>
      </c>
      <c r="H105" s="10" t="s">
        <v>7</v>
      </c>
      <c r="I105" s="10" t="s">
        <v>8</v>
      </c>
    </row>
    <row r="106" spans="1:9" ht="30" hidden="1" customHeight="1">
      <c r="A106" s="8" t="s">
        <v>291</v>
      </c>
      <c r="B106" s="11" t="s">
        <v>292</v>
      </c>
      <c r="C106" s="8" t="s">
        <v>293</v>
      </c>
      <c r="D106" s="8" t="s">
        <v>294</v>
      </c>
      <c r="E106" s="8">
        <v>10000</v>
      </c>
      <c r="F106" s="8">
        <v>600</v>
      </c>
      <c r="G106" s="8">
        <v>0</v>
      </c>
      <c r="H106" s="8"/>
      <c r="I106" s="8" t="s">
        <v>295</v>
      </c>
    </row>
    <row r="107" spans="1:9" ht="30" hidden="1" customHeight="1">
      <c r="A107" s="8" t="s">
        <v>296</v>
      </c>
      <c r="B107" s="11" t="s">
        <v>396</v>
      </c>
      <c r="C107" s="8" t="s">
        <v>59</v>
      </c>
      <c r="D107" s="8">
        <v>25</v>
      </c>
      <c r="E107" s="8">
        <v>10500</v>
      </c>
      <c r="F107" s="8">
        <v>430</v>
      </c>
      <c r="G107" s="8">
        <v>0</v>
      </c>
      <c r="H107" s="8"/>
      <c r="I107" s="8" t="s">
        <v>297</v>
      </c>
    </row>
    <row r="108" spans="1:9" ht="30" hidden="1" customHeight="1">
      <c r="A108" s="8" t="s">
        <v>298</v>
      </c>
      <c r="B108" s="11" t="s">
        <v>299</v>
      </c>
      <c r="C108" s="8" t="s">
        <v>110</v>
      </c>
      <c r="D108" s="8" t="s">
        <v>300</v>
      </c>
      <c r="E108" s="8">
        <v>8000</v>
      </c>
      <c r="F108" s="8">
        <v>550</v>
      </c>
      <c r="G108" s="8">
        <v>3000</v>
      </c>
      <c r="H108" s="8"/>
      <c r="I108" s="8" t="s">
        <v>301</v>
      </c>
    </row>
    <row r="109" spans="1:9" ht="30" hidden="1" customHeight="1">
      <c r="A109" s="8" t="s">
        <v>302</v>
      </c>
      <c r="B109" s="11" t="s">
        <v>303</v>
      </c>
      <c r="C109" s="8" t="s">
        <v>304</v>
      </c>
      <c r="D109" s="8" t="s">
        <v>305</v>
      </c>
      <c r="E109" s="8">
        <v>7000</v>
      </c>
      <c r="F109" s="8">
        <v>300</v>
      </c>
      <c r="G109" s="8">
        <v>5000</v>
      </c>
      <c r="H109" s="8"/>
      <c r="I109" s="8" t="s">
        <v>306</v>
      </c>
    </row>
    <row r="110" spans="1:9" ht="30" hidden="1" customHeight="1">
      <c r="A110" s="8" t="s">
        <v>307</v>
      </c>
      <c r="B110" s="11" t="s">
        <v>308</v>
      </c>
      <c r="C110" s="8" t="s">
        <v>59</v>
      </c>
      <c r="D110" s="8">
        <v>26</v>
      </c>
      <c r="E110" s="8">
        <v>4000</v>
      </c>
      <c r="F110" s="8">
        <v>250</v>
      </c>
      <c r="G110" s="8">
        <v>4000</v>
      </c>
      <c r="H110" s="8"/>
      <c r="I110" s="8" t="s">
        <v>309</v>
      </c>
    </row>
    <row r="111" spans="1:9" ht="30" hidden="1" customHeight="1">
      <c r="A111" s="8" t="s">
        <v>310</v>
      </c>
      <c r="B111" s="11" t="s">
        <v>311</v>
      </c>
      <c r="C111" s="8" t="s">
        <v>59</v>
      </c>
      <c r="D111" s="8">
        <v>30</v>
      </c>
      <c r="E111" s="8">
        <v>7000</v>
      </c>
      <c r="F111" s="8">
        <v>270</v>
      </c>
      <c r="G111" s="8">
        <v>8000</v>
      </c>
      <c r="H111" s="8"/>
      <c r="I111" s="8" t="s">
        <v>297</v>
      </c>
    </row>
    <row r="112" spans="1:9" ht="30" hidden="1" customHeight="1">
      <c r="A112" s="8" t="s">
        <v>312</v>
      </c>
      <c r="B112" s="11" t="s">
        <v>313</v>
      </c>
      <c r="C112" s="8" t="s">
        <v>314</v>
      </c>
      <c r="D112" s="8">
        <v>33</v>
      </c>
      <c r="E112" s="8">
        <v>7500</v>
      </c>
      <c r="F112" s="8">
        <v>282</v>
      </c>
      <c r="G112" s="8">
        <v>9000</v>
      </c>
      <c r="H112" s="8"/>
      <c r="I112" s="8" t="s">
        <v>297</v>
      </c>
    </row>
    <row r="113" spans="1:9" ht="30" hidden="1" customHeight="1">
      <c r="A113" s="8" t="s">
        <v>315</v>
      </c>
      <c r="B113" s="11" t="s">
        <v>316</v>
      </c>
      <c r="C113" s="8" t="s">
        <v>317</v>
      </c>
      <c r="D113" s="8" t="s">
        <v>318</v>
      </c>
      <c r="E113" s="8">
        <v>10000</v>
      </c>
      <c r="F113" s="8">
        <v>450</v>
      </c>
      <c r="G113" s="8">
        <v>10000</v>
      </c>
      <c r="H113" s="8"/>
      <c r="I113" s="8" t="s">
        <v>297</v>
      </c>
    </row>
    <row r="114" spans="1:9" ht="30" hidden="1" customHeight="1">
      <c r="A114" s="8" t="s">
        <v>319</v>
      </c>
      <c r="B114" s="11" t="s">
        <v>320</v>
      </c>
      <c r="C114" s="8" t="s">
        <v>321</v>
      </c>
      <c r="D114" s="8">
        <v>30</v>
      </c>
      <c r="E114" s="8">
        <v>3000</v>
      </c>
      <c r="F114" s="8">
        <v>400</v>
      </c>
      <c r="G114" s="8">
        <v>4000</v>
      </c>
      <c r="H114" s="8">
        <v>0</v>
      </c>
      <c r="I114" s="8" t="s">
        <v>322</v>
      </c>
    </row>
    <row r="115" spans="1:9" ht="30" hidden="1" customHeight="1">
      <c r="A115" s="8" t="s">
        <v>323</v>
      </c>
      <c r="B115" s="11" t="s">
        <v>324</v>
      </c>
      <c r="C115" s="8" t="s">
        <v>325</v>
      </c>
      <c r="D115" s="8">
        <v>13</v>
      </c>
      <c r="E115" s="8">
        <v>3000</v>
      </c>
      <c r="F115" s="8">
        <v>240</v>
      </c>
      <c r="G115" s="8">
        <v>0</v>
      </c>
      <c r="H115" s="8"/>
      <c r="I115" s="8" t="s">
        <v>326</v>
      </c>
    </row>
    <row r="116" spans="1:9" ht="30" hidden="1" customHeight="1">
      <c r="A116" s="8" t="s">
        <v>327</v>
      </c>
      <c r="B116" s="11" t="s">
        <v>328</v>
      </c>
      <c r="C116" s="8" t="s">
        <v>329</v>
      </c>
      <c r="D116" s="8">
        <v>15</v>
      </c>
      <c r="E116" s="8">
        <v>3000</v>
      </c>
      <c r="F116" s="8">
        <v>180</v>
      </c>
      <c r="G116" s="8">
        <v>200</v>
      </c>
      <c r="H116" s="8"/>
      <c r="I116" s="8" t="s">
        <v>330</v>
      </c>
    </row>
    <row r="117" spans="1:9" ht="30" hidden="1" customHeight="1">
      <c r="A117" s="8" t="s">
        <v>331</v>
      </c>
      <c r="B117" s="11" t="s">
        <v>332</v>
      </c>
      <c r="C117" s="8" t="s">
        <v>333</v>
      </c>
      <c r="D117" s="8" t="s">
        <v>334</v>
      </c>
      <c r="E117" s="8">
        <v>3000</v>
      </c>
      <c r="F117" s="8">
        <v>200</v>
      </c>
      <c r="G117" s="8">
        <v>2500</v>
      </c>
      <c r="H117" s="8"/>
      <c r="I117" s="8" t="s">
        <v>335</v>
      </c>
    </row>
    <row r="118" spans="1:9" ht="30" hidden="1" customHeight="1">
      <c r="A118" s="8" t="s">
        <v>336</v>
      </c>
      <c r="B118" s="11" t="s">
        <v>337</v>
      </c>
      <c r="C118" s="8" t="s">
        <v>338</v>
      </c>
      <c r="D118" s="8">
        <v>20</v>
      </c>
      <c r="E118" s="8">
        <v>4000</v>
      </c>
      <c r="F118" s="8">
        <v>250</v>
      </c>
      <c r="G118" s="8">
        <v>10000</v>
      </c>
      <c r="H118" s="8"/>
      <c r="I118" s="8" t="s">
        <v>330</v>
      </c>
    </row>
    <row r="119" spans="1:9" ht="30" hidden="1" customHeight="1">
      <c r="A119" s="8" t="s">
        <v>339</v>
      </c>
      <c r="B119" s="11" t="s">
        <v>340</v>
      </c>
      <c r="C119" s="8" t="s">
        <v>341</v>
      </c>
      <c r="D119" s="8">
        <v>30</v>
      </c>
      <c r="E119" s="8">
        <v>10000</v>
      </c>
      <c r="F119" s="8">
        <v>470</v>
      </c>
      <c r="G119" s="8">
        <v>10000</v>
      </c>
      <c r="H119" s="8"/>
      <c r="I119" s="8" t="s">
        <v>309</v>
      </c>
    </row>
    <row r="120" spans="1:9" ht="30" hidden="1" customHeight="1">
      <c r="A120" s="8" t="s">
        <v>342</v>
      </c>
      <c r="B120" s="11" t="s">
        <v>343</v>
      </c>
      <c r="C120" s="8" t="s">
        <v>344</v>
      </c>
      <c r="D120" s="8">
        <v>15</v>
      </c>
      <c r="E120" s="8">
        <v>3000</v>
      </c>
      <c r="F120" s="8">
        <v>245</v>
      </c>
      <c r="G120" s="8">
        <v>3500</v>
      </c>
      <c r="H120" s="8"/>
      <c r="I120" s="8" t="s">
        <v>309</v>
      </c>
    </row>
    <row r="121" spans="1:9" ht="30" hidden="1" customHeight="1">
      <c r="A121" s="8" t="s">
        <v>345</v>
      </c>
      <c r="B121" s="11" t="s">
        <v>346</v>
      </c>
      <c r="C121" s="8" t="s">
        <v>341</v>
      </c>
      <c r="D121" s="8" t="s">
        <v>347</v>
      </c>
      <c r="E121" s="8">
        <v>5000</v>
      </c>
      <c r="F121" s="8">
        <v>400</v>
      </c>
      <c r="G121" s="8">
        <v>15000</v>
      </c>
      <c r="H121" s="8"/>
      <c r="I121" s="8" t="s">
        <v>348</v>
      </c>
    </row>
    <row r="122" spans="1:9" ht="30" hidden="1" customHeight="1">
      <c r="A122" s="8" t="s">
        <v>349</v>
      </c>
      <c r="B122" s="11" t="s">
        <v>350</v>
      </c>
      <c r="C122" s="8" t="s">
        <v>351</v>
      </c>
      <c r="D122" s="8">
        <v>50</v>
      </c>
      <c r="E122" s="8">
        <v>6000</v>
      </c>
      <c r="F122" s="8">
        <v>380</v>
      </c>
      <c r="G122" s="8">
        <v>8000</v>
      </c>
      <c r="H122" s="8"/>
      <c r="I122" s="8" t="s">
        <v>352</v>
      </c>
    </row>
    <row r="123" spans="1:9" ht="30" hidden="1" customHeight="1">
      <c r="A123" s="8" t="s">
        <v>140</v>
      </c>
      <c r="B123" s="11" t="s">
        <v>353</v>
      </c>
      <c r="C123" s="8" t="s">
        <v>354</v>
      </c>
      <c r="D123" s="8">
        <v>20</v>
      </c>
      <c r="E123" s="8">
        <v>5000</v>
      </c>
      <c r="F123" s="8">
        <v>330</v>
      </c>
      <c r="G123" s="8">
        <v>3000</v>
      </c>
      <c r="H123" s="8"/>
      <c r="I123" s="8" t="s">
        <v>355</v>
      </c>
    </row>
    <row r="124" spans="1:9" s="24" customFormat="1" ht="30" customHeight="1">
      <c r="A124" s="26" t="s">
        <v>356</v>
      </c>
      <c r="B124" s="27" t="s">
        <v>960</v>
      </c>
      <c r="C124" s="26" t="s">
        <v>357</v>
      </c>
      <c r="D124" s="26">
        <v>53</v>
      </c>
      <c r="E124" s="26">
        <v>10000</v>
      </c>
      <c r="F124" s="26">
        <v>700</v>
      </c>
      <c r="G124" s="26"/>
      <c r="H124" s="26">
        <v>30</v>
      </c>
      <c r="I124" s="26" t="s">
        <v>358</v>
      </c>
    </row>
    <row r="125" spans="1:9" s="24" customFormat="1" ht="30" customHeight="1">
      <c r="A125" s="26" t="s">
        <v>359</v>
      </c>
      <c r="B125" s="27" t="s">
        <v>960</v>
      </c>
      <c r="C125" s="26" t="s">
        <v>59</v>
      </c>
      <c r="D125" s="26">
        <v>42.5</v>
      </c>
      <c r="E125" s="26">
        <v>6000</v>
      </c>
      <c r="F125" s="26">
        <v>850</v>
      </c>
      <c r="G125" s="26"/>
      <c r="H125" s="26">
        <v>50</v>
      </c>
      <c r="I125" s="26" t="s">
        <v>360</v>
      </c>
    </row>
    <row r="126" spans="1:9" s="24" customFormat="1" ht="30" customHeight="1">
      <c r="A126" s="26" t="s">
        <v>361</v>
      </c>
      <c r="B126" s="27" t="s">
        <v>960</v>
      </c>
      <c r="C126" s="26" t="s">
        <v>59</v>
      </c>
      <c r="D126" s="26">
        <v>35</v>
      </c>
      <c r="E126" s="26">
        <v>8000</v>
      </c>
      <c r="F126" s="26">
        <v>400</v>
      </c>
      <c r="G126" s="26"/>
      <c r="H126" s="26">
        <v>20</v>
      </c>
      <c r="I126" s="26" t="s">
        <v>362</v>
      </c>
    </row>
    <row r="127" spans="1:9" ht="30" hidden="1" customHeight="1">
      <c r="A127" s="8" t="s">
        <v>363</v>
      </c>
      <c r="B127" s="27" t="s">
        <v>960</v>
      </c>
      <c r="C127" s="8" t="s">
        <v>364</v>
      </c>
      <c r="D127" s="8">
        <v>30</v>
      </c>
      <c r="E127" s="8">
        <v>3000</v>
      </c>
      <c r="F127" s="8">
        <v>230</v>
      </c>
      <c r="G127" s="8">
        <v>5500</v>
      </c>
      <c r="H127" s="8"/>
      <c r="I127" s="8" t="s">
        <v>365</v>
      </c>
    </row>
    <row r="128" spans="1:9" ht="30" hidden="1" customHeight="1">
      <c r="A128" s="8" t="s">
        <v>366</v>
      </c>
      <c r="B128" s="27" t="s">
        <v>960</v>
      </c>
      <c r="C128" s="8" t="s">
        <v>367</v>
      </c>
      <c r="D128" s="8">
        <v>30</v>
      </c>
      <c r="E128" s="8">
        <v>10000</v>
      </c>
      <c r="F128" s="8">
        <v>700</v>
      </c>
      <c r="G128" s="8">
        <v>18000</v>
      </c>
      <c r="H128" s="8"/>
      <c r="I128" s="8" t="s">
        <v>368</v>
      </c>
    </row>
    <row r="129" spans="1:9" ht="30" hidden="1" customHeight="1">
      <c r="A129" s="8" t="s">
        <v>369</v>
      </c>
      <c r="B129" s="27" t="s">
        <v>960</v>
      </c>
      <c r="C129" s="8" t="s">
        <v>370</v>
      </c>
      <c r="D129" s="8">
        <v>25</v>
      </c>
      <c r="E129" s="8">
        <v>7000</v>
      </c>
      <c r="F129" s="8">
        <v>400</v>
      </c>
      <c r="G129" s="8">
        <v>13000</v>
      </c>
      <c r="H129" s="8"/>
      <c r="I129" s="8" t="s">
        <v>368</v>
      </c>
    </row>
    <row r="130" spans="1:9" ht="30" hidden="1" customHeight="1">
      <c r="A130" s="8" t="s">
        <v>371</v>
      </c>
      <c r="B130" s="27" t="s">
        <v>960</v>
      </c>
      <c r="C130" s="8" t="s">
        <v>372</v>
      </c>
      <c r="D130" s="8">
        <v>25</v>
      </c>
      <c r="E130" s="8">
        <v>4000</v>
      </c>
      <c r="F130" s="8">
        <v>320</v>
      </c>
      <c r="G130" s="8">
        <v>0</v>
      </c>
      <c r="H130" s="8"/>
      <c r="I130" s="8" t="s">
        <v>373</v>
      </c>
    </row>
    <row r="131" spans="1:9" ht="30" hidden="1" customHeight="1">
      <c r="A131" s="8" t="s">
        <v>374</v>
      </c>
      <c r="B131" s="27" t="s">
        <v>960</v>
      </c>
      <c r="C131" s="8" t="s">
        <v>375</v>
      </c>
      <c r="D131" s="8" t="s">
        <v>376</v>
      </c>
      <c r="E131" s="8">
        <v>5000</v>
      </c>
      <c r="F131" s="8">
        <v>400</v>
      </c>
      <c r="G131" s="8">
        <v>8000</v>
      </c>
      <c r="H131" s="8"/>
      <c r="I131" s="8" t="s">
        <v>377</v>
      </c>
    </row>
    <row r="132" spans="1:9" ht="30" hidden="1" customHeight="1">
      <c r="A132" s="8" t="s">
        <v>378</v>
      </c>
      <c r="B132" s="27" t="s">
        <v>960</v>
      </c>
      <c r="C132" s="8" t="s">
        <v>379</v>
      </c>
      <c r="D132" s="8">
        <v>33</v>
      </c>
      <c r="E132" s="8">
        <v>7000</v>
      </c>
      <c r="F132" s="8">
        <v>330</v>
      </c>
      <c r="G132" s="8">
        <v>10000</v>
      </c>
      <c r="H132" s="8"/>
      <c r="I132" s="8" t="s">
        <v>380</v>
      </c>
    </row>
    <row r="133" spans="1:9" ht="30" hidden="1" customHeight="1">
      <c r="A133" s="8" t="s">
        <v>381</v>
      </c>
      <c r="B133" s="27" t="s">
        <v>960</v>
      </c>
      <c r="C133" s="8" t="s">
        <v>382</v>
      </c>
      <c r="D133" s="8">
        <v>38</v>
      </c>
      <c r="E133" s="8">
        <v>5000</v>
      </c>
      <c r="F133" s="8">
        <v>450</v>
      </c>
      <c r="G133" s="8">
        <v>1500</v>
      </c>
      <c r="H133" s="8"/>
      <c r="I133" s="8" t="s">
        <v>383</v>
      </c>
    </row>
    <row r="134" spans="1:9" ht="30" hidden="1" customHeight="1">
      <c r="A134" s="8" t="s">
        <v>384</v>
      </c>
      <c r="B134" s="27" t="s">
        <v>960</v>
      </c>
      <c r="C134" s="8" t="s">
        <v>385</v>
      </c>
      <c r="D134" s="8">
        <v>40</v>
      </c>
      <c r="E134" s="8">
        <v>5000</v>
      </c>
      <c r="F134" s="8">
        <v>350</v>
      </c>
      <c r="G134" s="8">
        <v>6000</v>
      </c>
      <c r="H134" s="8"/>
      <c r="I134" s="8"/>
    </row>
    <row r="135" spans="1:9" ht="30" hidden="1" customHeight="1">
      <c r="A135" s="8" t="s">
        <v>386</v>
      </c>
      <c r="B135" s="27" t="s">
        <v>960</v>
      </c>
      <c r="C135" s="8" t="s">
        <v>387</v>
      </c>
      <c r="D135" s="8">
        <v>31</v>
      </c>
      <c r="E135" s="8">
        <v>8000</v>
      </c>
      <c r="F135" s="8">
        <v>520</v>
      </c>
      <c r="G135" s="8">
        <v>17000</v>
      </c>
      <c r="H135" s="8"/>
      <c r="I135" s="8"/>
    </row>
    <row r="136" spans="1:9" ht="30" hidden="1" customHeight="1">
      <c r="A136" s="8" t="s">
        <v>388</v>
      </c>
      <c r="B136" s="27" t="s">
        <v>960</v>
      </c>
      <c r="C136" s="8" t="s">
        <v>357</v>
      </c>
      <c r="D136" s="8">
        <v>30</v>
      </c>
      <c r="E136" s="8">
        <v>7000</v>
      </c>
      <c r="F136" s="8">
        <v>340</v>
      </c>
      <c r="G136" s="8">
        <v>0</v>
      </c>
      <c r="H136" s="8"/>
      <c r="I136" s="8"/>
    </row>
    <row r="137" spans="1:9" ht="30" hidden="1" customHeight="1">
      <c r="A137" s="8" t="s">
        <v>389</v>
      </c>
      <c r="B137" s="27" t="s">
        <v>960</v>
      </c>
      <c r="C137" s="8" t="s">
        <v>390</v>
      </c>
      <c r="D137" s="8">
        <v>30</v>
      </c>
      <c r="E137" s="8">
        <v>10000</v>
      </c>
      <c r="F137" s="8">
        <v>600</v>
      </c>
      <c r="G137" s="8">
        <v>0</v>
      </c>
      <c r="H137" s="8"/>
      <c r="I137" s="8" t="s">
        <v>391</v>
      </c>
    </row>
    <row r="138" spans="1:9" ht="30" hidden="1" customHeight="1">
      <c r="A138" s="8" t="s">
        <v>392</v>
      </c>
      <c r="B138" s="27" t="s">
        <v>960</v>
      </c>
      <c r="C138" s="8" t="s">
        <v>357</v>
      </c>
      <c r="D138" s="8" t="s">
        <v>393</v>
      </c>
      <c r="E138" s="8">
        <v>16000</v>
      </c>
      <c r="F138" s="8">
        <v>850</v>
      </c>
      <c r="G138" s="8">
        <v>0</v>
      </c>
      <c r="H138" s="8"/>
      <c r="I138" s="8" t="s">
        <v>394</v>
      </c>
    </row>
    <row r="139" spans="1:9" ht="30" hidden="1" customHeight="1">
      <c r="A139" s="2" t="s">
        <v>395</v>
      </c>
      <c r="B139" s="27" t="s">
        <v>960</v>
      </c>
    </row>
    <row r="140" spans="1:9" ht="30" hidden="1" customHeight="1">
      <c r="A140" s="13" t="s">
        <v>0</v>
      </c>
      <c r="B140" s="27" t="s">
        <v>960</v>
      </c>
      <c r="C140" s="13" t="s">
        <v>2</v>
      </c>
      <c r="D140" s="13" t="s">
        <v>3</v>
      </c>
      <c r="E140" s="13" t="s">
        <v>4</v>
      </c>
      <c r="F140" s="13" t="s">
        <v>5</v>
      </c>
      <c r="G140" s="13" t="s">
        <v>6</v>
      </c>
      <c r="H140" s="13" t="s">
        <v>455</v>
      </c>
      <c r="I140" s="13" t="s">
        <v>8</v>
      </c>
    </row>
    <row r="141" spans="1:9" ht="30" hidden="1" customHeight="1">
      <c r="A141" s="12" t="s">
        <v>397</v>
      </c>
      <c r="B141" s="27" t="s">
        <v>960</v>
      </c>
      <c r="C141" s="12" t="s">
        <v>110</v>
      </c>
      <c r="D141" s="12">
        <v>74</v>
      </c>
      <c r="E141" s="12">
        <v>20000</v>
      </c>
      <c r="F141" s="12">
        <v>1500</v>
      </c>
      <c r="G141" s="12">
        <v>0</v>
      </c>
      <c r="H141" s="12"/>
      <c r="I141" s="12" t="s">
        <v>398</v>
      </c>
    </row>
    <row r="142" spans="1:9" ht="30" hidden="1" customHeight="1">
      <c r="A142" s="12" t="s">
        <v>399</v>
      </c>
      <c r="B142" s="27" t="s">
        <v>960</v>
      </c>
      <c r="C142" s="12" t="s">
        <v>59</v>
      </c>
      <c r="D142" s="12">
        <v>30</v>
      </c>
      <c r="E142" s="12">
        <v>11000</v>
      </c>
      <c r="F142" s="12">
        <v>500</v>
      </c>
      <c r="G142" s="12">
        <v>5000</v>
      </c>
      <c r="H142" s="12"/>
      <c r="I142" s="12" t="s">
        <v>400</v>
      </c>
    </row>
    <row r="143" spans="1:9" ht="30" hidden="1" customHeight="1">
      <c r="A143" s="12" t="s">
        <v>401</v>
      </c>
      <c r="B143" s="27" t="s">
        <v>960</v>
      </c>
      <c r="C143" s="12" t="s">
        <v>59</v>
      </c>
      <c r="D143" s="12">
        <v>18</v>
      </c>
      <c r="E143" s="12">
        <v>3000</v>
      </c>
      <c r="F143" s="12">
        <v>300</v>
      </c>
      <c r="G143" s="12">
        <v>0</v>
      </c>
      <c r="H143" s="12"/>
      <c r="I143" s="12" t="s">
        <v>66</v>
      </c>
    </row>
    <row r="144" spans="1:9" ht="30" hidden="1" customHeight="1">
      <c r="A144" s="12" t="s">
        <v>402</v>
      </c>
      <c r="B144" s="27" t="s">
        <v>960</v>
      </c>
      <c r="C144" s="12" t="s">
        <v>59</v>
      </c>
      <c r="D144" s="12">
        <v>44.5</v>
      </c>
      <c r="E144" s="12">
        <v>10000</v>
      </c>
      <c r="F144" s="12">
        <v>600</v>
      </c>
      <c r="G144" s="12">
        <v>0</v>
      </c>
      <c r="H144" s="12"/>
      <c r="I144" s="12" t="s">
        <v>66</v>
      </c>
    </row>
    <row r="145" spans="1:9" ht="30" hidden="1" customHeight="1">
      <c r="A145" s="12" t="s">
        <v>403</v>
      </c>
      <c r="B145" s="27" t="s">
        <v>960</v>
      </c>
      <c r="C145" s="12" t="s">
        <v>59</v>
      </c>
      <c r="D145" s="12">
        <v>15</v>
      </c>
      <c r="E145" s="12">
        <v>3000</v>
      </c>
      <c r="F145" s="12">
        <v>220</v>
      </c>
      <c r="G145" s="12">
        <v>1000</v>
      </c>
      <c r="H145" s="12">
        <v>10</v>
      </c>
      <c r="I145" s="12" t="s">
        <v>404</v>
      </c>
    </row>
    <row r="146" spans="1:9" ht="30" hidden="1" customHeight="1">
      <c r="A146" s="12" t="s">
        <v>405</v>
      </c>
      <c r="B146" s="27" t="s">
        <v>960</v>
      </c>
      <c r="C146" s="12" t="s">
        <v>59</v>
      </c>
      <c r="D146" s="12">
        <v>40</v>
      </c>
      <c r="E146" s="12">
        <v>10000</v>
      </c>
      <c r="F146" s="12">
        <v>900</v>
      </c>
      <c r="G146" s="12">
        <v>3000</v>
      </c>
      <c r="H146" s="12"/>
      <c r="I146" s="12" t="s">
        <v>406</v>
      </c>
    </row>
    <row r="147" spans="1:9" ht="30" hidden="1" customHeight="1">
      <c r="A147" s="12" t="s">
        <v>407</v>
      </c>
      <c r="B147" s="27" t="s">
        <v>960</v>
      </c>
      <c r="C147" s="12" t="s">
        <v>59</v>
      </c>
      <c r="D147" s="12">
        <v>30</v>
      </c>
      <c r="E147" s="12">
        <v>7000</v>
      </c>
      <c r="F147" s="12">
        <v>580</v>
      </c>
      <c r="G147" s="12">
        <v>0</v>
      </c>
      <c r="H147" s="12"/>
      <c r="I147" s="12"/>
    </row>
    <row r="148" spans="1:9" ht="30" hidden="1" customHeight="1">
      <c r="A148" s="12" t="s">
        <v>408</v>
      </c>
      <c r="B148" s="27" t="s">
        <v>960</v>
      </c>
      <c r="C148" s="12" t="s">
        <v>59</v>
      </c>
      <c r="D148" s="12">
        <v>16</v>
      </c>
      <c r="E148" s="12">
        <v>5000</v>
      </c>
      <c r="F148" s="12">
        <v>340</v>
      </c>
      <c r="G148" s="12">
        <v>0</v>
      </c>
      <c r="H148" s="12"/>
      <c r="I148" s="12" t="s">
        <v>66</v>
      </c>
    </row>
    <row r="149" spans="1:9" ht="30" hidden="1" customHeight="1">
      <c r="A149" s="12" t="s">
        <v>409</v>
      </c>
      <c r="B149" s="27" t="s">
        <v>960</v>
      </c>
      <c r="C149" s="12" t="s">
        <v>59</v>
      </c>
      <c r="D149" s="12">
        <v>25</v>
      </c>
      <c r="E149" s="12">
        <v>6000</v>
      </c>
      <c r="F149" s="12">
        <v>330</v>
      </c>
      <c r="G149" s="12">
        <v>3500</v>
      </c>
      <c r="H149" s="12"/>
      <c r="I149" s="12" t="s">
        <v>410</v>
      </c>
    </row>
    <row r="150" spans="1:9" ht="30" hidden="1" customHeight="1">
      <c r="A150" s="12" t="s">
        <v>411</v>
      </c>
      <c r="B150" s="27" t="s">
        <v>960</v>
      </c>
      <c r="C150" s="12" t="s">
        <v>59</v>
      </c>
      <c r="D150" s="12">
        <v>30</v>
      </c>
      <c r="E150" s="12">
        <v>5000</v>
      </c>
      <c r="F150" s="12">
        <v>150</v>
      </c>
      <c r="G150" s="12">
        <v>2000</v>
      </c>
      <c r="H150" s="12"/>
      <c r="I150" s="12" t="s">
        <v>412</v>
      </c>
    </row>
    <row r="151" spans="1:9" ht="30" hidden="1" customHeight="1">
      <c r="A151" s="12" t="s">
        <v>413</v>
      </c>
      <c r="B151" s="27" t="s">
        <v>960</v>
      </c>
      <c r="C151" s="12" t="s">
        <v>59</v>
      </c>
      <c r="D151" s="12">
        <v>30</v>
      </c>
      <c r="E151" s="12">
        <v>10000</v>
      </c>
      <c r="F151" s="12">
        <v>600</v>
      </c>
      <c r="G151" s="12">
        <v>0</v>
      </c>
      <c r="H151" s="12"/>
      <c r="I151" s="12" t="s">
        <v>414</v>
      </c>
    </row>
    <row r="152" spans="1:9" ht="30" hidden="1" customHeight="1">
      <c r="A152" s="12" t="s">
        <v>415</v>
      </c>
      <c r="B152" s="27" t="s">
        <v>960</v>
      </c>
      <c r="C152" s="12"/>
      <c r="D152" s="12">
        <v>46</v>
      </c>
      <c r="E152" s="12">
        <v>10000</v>
      </c>
      <c r="F152" s="12">
        <v>850</v>
      </c>
      <c r="G152" s="12">
        <v>10000</v>
      </c>
      <c r="H152" s="12"/>
      <c r="I152" s="12"/>
    </row>
    <row r="153" spans="1:9" ht="30" hidden="1" customHeight="1">
      <c r="A153" s="12" t="s">
        <v>416</v>
      </c>
      <c r="B153" s="27" t="s">
        <v>960</v>
      </c>
      <c r="C153" s="12" t="s">
        <v>59</v>
      </c>
      <c r="D153" s="12">
        <v>36</v>
      </c>
      <c r="E153" s="12">
        <v>15000</v>
      </c>
      <c r="F153" s="12">
        <v>800</v>
      </c>
      <c r="G153" s="12">
        <v>0</v>
      </c>
      <c r="H153" s="12"/>
      <c r="I153" s="12" t="s">
        <v>417</v>
      </c>
    </row>
    <row r="154" spans="1:9" ht="30" hidden="1" customHeight="1">
      <c r="A154" s="12" t="s">
        <v>418</v>
      </c>
      <c r="B154" s="27" t="s">
        <v>960</v>
      </c>
      <c r="C154" s="12" t="s">
        <v>59</v>
      </c>
      <c r="D154" s="12">
        <v>21</v>
      </c>
      <c r="E154" s="12">
        <v>3000</v>
      </c>
      <c r="F154" s="12">
        <v>150</v>
      </c>
      <c r="G154" s="12">
        <v>4000</v>
      </c>
      <c r="H154" s="12"/>
      <c r="I154" s="12" t="s">
        <v>419</v>
      </c>
    </row>
    <row r="155" spans="1:9" ht="30" hidden="1" customHeight="1">
      <c r="A155" s="12" t="s">
        <v>420</v>
      </c>
      <c r="B155" s="27" t="s">
        <v>960</v>
      </c>
      <c r="C155" s="12" t="s">
        <v>59</v>
      </c>
      <c r="D155" s="12">
        <v>35</v>
      </c>
      <c r="E155" s="12">
        <v>4500</v>
      </c>
      <c r="F155" s="12">
        <v>422</v>
      </c>
      <c r="G155" s="12">
        <v>7000</v>
      </c>
      <c r="H155" s="12"/>
      <c r="I155" s="12"/>
    </row>
    <row r="156" spans="1:9" ht="30" hidden="1" customHeight="1">
      <c r="A156" s="12" t="s">
        <v>421</v>
      </c>
      <c r="B156" s="27" t="s">
        <v>960</v>
      </c>
      <c r="C156" s="12" t="s">
        <v>59</v>
      </c>
      <c r="D156" s="12">
        <v>23</v>
      </c>
      <c r="E156" s="12">
        <v>3000</v>
      </c>
      <c r="F156" s="12">
        <v>230</v>
      </c>
      <c r="G156" s="12">
        <v>5000</v>
      </c>
      <c r="H156" s="12"/>
      <c r="I156" s="12" t="s">
        <v>422</v>
      </c>
    </row>
    <row r="157" spans="1:9" ht="30" hidden="1" customHeight="1">
      <c r="A157" s="12" t="s">
        <v>423</v>
      </c>
      <c r="B157" s="27" t="s">
        <v>960</v>
      </c>
      <c r="C157" s="12" t="s">
        <v>59</v>
      </c>
      <c r="D157" s="12">
        <v>20</v>
      </c>
      <c r="E157" s="12">
        <v>3000</v>
      </c>
      <c r="F157" s="12">
        <v>220</v>
      </c>
      <c r="G157" s="12">
        <v>3000</v>
      </c>
      <c r="H157" s="12"/>
      <c r="I157" s="12" t="s">
        <v>424</v>
      </c>
    </row>
    <row r="158" spans="1:9" ht="30" hidden="1" customHeight="1">
      <c r="A158" s="12" t="s">
        <v>425</v>
      </c>
      <c r="B158" s="27" t="s">
        <v>960</v>
      </c>
      <c r="C158" s="12" t="s">
        <v>59</v>
      </c>
      <c r="D158" s="12">
        <v>50</v>
      </c>
      <c r="E158" s="12">
        <v>3000</v>
      </c>
      <c r="F158" s="12">
        <v>420</v>
      </c>
      <c r="G158" s="12">
        <v>4000</v>
      </c>
      <c r="H158" s="12"/>
      <c r="I158" s="12" t="s">
        <v>426</v>
      </c>
    </row>
    <row r="159" spans="1:9" ht="30" hidden="1" customHeight="1">
      <c r="A159" s="12" t="s">
        <v>427</v>
      </c>
      <c r="B159" s="27" t="s">
        <v>960</v>
      </c>
      <c r="C159" s="12" t="s">
        <v>59</v>
      </c>
      <c r="D159" s="12">
        <v>33</v>
      </c>
      <c r="E159" s="12">
        <v>6000</v>
      </c>
      <c r="F159" s="12">
        <v>350</v>
      </c>
      <c r="G159" s="12">
        <v>0</v>
      </c>
      <c r="H159" s="12"/>
      <c r="I159" s="12" t="s">
        <v>428</v>
      </c>
    </row>
    <row r="160" spans="1:9" ht="30" hidden="1" customHeight="1">
      <c r="A160" s="12" t="s">
        <v>429</v>
      </c>
      <c r="B160" s="27" t="s">
        <v>960</v>
      </c>
      <c r="C160" s="12" t="s">
        <v>59</v>
      </c>
      <c r="D160" s="12">
        <v>30</v>
      </c>
      <c r="E160" s="12">
        <v>4000</v>
      </c>
      <c r="F160" s="12">
        <v>250</v>
      </c>
      <c r="G160" s="12">
        <v>5000</v>
      </c>
      <c r="H160" s="12"/>
      <c r="I160" s="12" t="s">
        <v>430</v>
      </c>
    </row>
    <row r="161" spans="1:9" ht="30" hidden="1" customHeight="1">
      <c r="A161" s="12" t="s">
        <v>431</v>
      </c>
      <c r="B161" s="27" t="s">
        <v>960</v>
      </c>
      <c r="C161" s="12" t="s">
        <v>59</v>
      </c>
      <c r="D161" s="12">
        <v>33</v>
      </c>
      <c r="E161" s="12">
        <v>3000</v>
      </c>
      <c r="F161" s="12">
        <v>170</v>
      </c>
      <c r="G161" s="12">
        <v>1000</v>
      </c>
      <c r="H161" s="12"/>
      <c r="I161" s="12" t="s">
        <v>432</v>
      </c>
    </row>
    <row r="162" spans="1:9" ht="30" hidden="1" customHeight="1">
      <c r="A162" s="12" t="s">
        <v>433</v>
      </c>
      <c r="B162" s="27" t="s">
        <v>960</v>
      </c>
      <c r="C162" s="12"/>
      <c r="D162" s="12">
        <v>22</v>
      </c>
      <c r="E162" s="12">
        <v>10000</v>
      </c>
      <c r="F162" s="12">
        <v>680</v>
      </c>
      <c r="G162" s="12">
        <v>0</v>
      </c>
      <c r="H162" s="12"/>
      <c r="I162" s="12"/>
    </row>
    <row r="163" spans="1:9" ht="30" hidden="1" customHeight="1">
      <c r="A163" s="12" t="s">
        <v>434</v>
      </c>
      <c r="B163" s="27" t="s">
        <v>960</v>
      </c>
      <c r="C163" s="12"/>
      <c r="D163" s="12">
        <v>53</v>
      </c>
      <c r="E163" s="12">
        <v>15500</v>
      </c>
      <c r="F163" s="12">
        <v>800</v>
      </c>
      <c r="G163" s="12">
        <v>0</v>
      </c>
      <c r="H163" s="12"/>
      <c r="I163" s="12"/>
    </row>
    <row r="164" spans="1:9" ht="30" hidden="1" customHeight="1">
      <c r="A164" s="12" t="s">
        <v>435</v>
      </c>
      <c r="B164" s="27" t="s">
        <v>960</v>
      </c>
      <c r="C164" s="12" t="s">
        <v>59</v>
      </c>
      <c r="D164" s="12">
        <v>53</v>
      </c>
      <c r="E164" s="12">
        <v>8000</v>
      </c>
      <c r="F164" s="12">
        <v>250</v>
      </c>
      <c r="G164" s="12">
        <v>0</v>
      </c>
      <c r="H164" s="12"/>
      <c r="I164" s="12" t="s">
        <v>436</v>
      </c>
    </row>
    <row r="165" spans="1:9" ht="30" hidden="1" customHeight="1">
      <c r="A165" s="12" t="s">
        <v>437</v>
      </c>
      <c r="B165" s="27" t="s">
        <v>960</v>
      </c>
      <c r="C165" s="12" t="s">
        <v>59</v>
      </c>
      <c r="D165" s="12">
        <v>40</v>
      </c>
      <c r="E165" s="12">
        <v>7000</v>
      </c>
      <c r="F165" s="12">
        <v>700</v>
      </c>
      <c r="G165" s="12">
        <v>20000</v>
      </c>
      <c r="H165" s="12"/>
      <c r="I165" s="12"/>
    </row>
    <row r="166" spans="1:9" ht="30" hidden="1" customHeight="1">
      <c r="A166" s="12" t="s">
        <v>438</v>
      </c>
      <c r="B166" s="27" t="s">
        <v>960</v>
      </c>
      <c r="C166" s="12" t="s">
        <v>59</v>
      </c>
      <c r="D166" s="12">
        <v>27</v>
      </c>
      <c r="E166" s="12">
        <v>5000</v>
      </c>
      <c r="F166" s="12">
        <v>280</v>
      </c>
      <c r="G166" s="12">
        <v>3500</v>
      </c>
      <c r="H166" s="12"/>
      <c r="I166" s="12" t="s">
        <v>439</v>
      </c>
    </row>
    <row r="167" spans="1:9" ht="30" hidden="1" customHeight="1">
      <c r="A167" s="12" t="s">
        <v>440</v>
      </c>
      <c r="B167" s="27" t="s">
        <v>960</v>
      </c>
      <c r="C167" s="12" t="s">
        <v>60</v>
      </c>
      <c r="D167" s="12">
        <v>80</v>
      </c>
      <c r="E167" s="12">
        <v>7000</v>
      </c>
      <c r="F167" s="12">
        <v>330</v>
      </c>
      <c r="G167" s="12">
        <v>0</v>
      </c>
      <c r="H167" s="12"/>
      <c r="I167" s="12"/>
    </row>
    <row r="168" spans="1:9" ht="30" hidden="1" customHeight="1">
      <c r="A168" s="12" t="s">
        <v>441</v>
      </c>
      <c r="B168" s="27" t="s">
        <v>960</v>
      </c>
      <c r="C168" s="12"/>
      <c r="D168" s="12">
        <v>47</v>
      </c>
      <c r="E168" s="12">
        <v>8000</v>
      </c>
      <c r="F168" s="12">
        <v>600</v>
      </c>
      <c r="G168" s="12">
        <v>3000</v>
      </c>
      <c r="H168" s="12"/>
      <c r="I168" s="12" t="s">
        <v>442</v>
      </c>
    </row>
    <row r="169" spans="1:9" ht="30" hidden="1" customHeight="1">
      <c r="A169" s="12" t="s">
        <v>443</v>
      </c>
      <c r="B169" s="27" t="s">
        <v>960</v>
      </c>
      <c r="C169" s="12" t="s">
        <v>59</v>
      </c>
      <c r="D169" s="12">
        <v>40</v>
      </c>
      <c r="E169" s="12">
        <v>4000</v>
      </c>
      <c r="F169" s="12">
        <v>350</v>
      </c>
      <c r="G169" s="12">
        <v>0</v>
      </c>
      <c r="H169" s="12"/>
      <c r="I169" s="12" t="s">
        <v>66</v>
      </c>
    </row>
    <row r="170" spans="1:9" ht="30" hidden="1" customHeight="1">
      <c r="A170" s="12" t="s">
        <v>444</v>
      </c>
      <c r="B170" s="27" t="s">
        <v>960</v>
      </c>
      <c r="C170" s="12" t="s">
        <v>59</v>
      </c>
      <c r="D170" s="12">
        <v>22</v>
      </c>
      <c r="E170" s="12">
        <v>8000</v>
      </c>
      <c r="F170" s="12">
        <v>650</v>
      </c>
      <c r="G170" s="12">
        <v>0</v>
      </c>
      <c r="H170" s="12"/>
      <c r="I170" s="12"/>
    </row>
    <row r="171" spans="1:9" ht="30" hidden="1" customHeight="1">
      <c r="A171" s="12" t="s">
        <v>445</v>
      </c>
      <c r="B171" s="27" t="s">
        <v>960</v>
      </c>
      <c r="C171" s="12" t="s">
        <v>59</v>
      </c>
      <c r="D171" s="12">
        <v>24</v>
      </c>
      <c r="E171" s="12">
        <v>5200</v>
      </c>
      <c r="F171" s="12">
        <v>320</v>
      </c>
      <c r="G171" s="12">
        <v>0</v>
      </c>
      <c r="H171" s="12"/>
      <c r="I171" s="12" t="s">
        <v>446</v>
      </c>
    </row>
    <row r="172" spans="1:9" ht="30" hidden="1" customHeight="1">
      <c r="A172" s="12" t="s">
        <v>447</v>
      </c>
      <c r="B172" s="27" t="s">
        <v>960</v>
      </c>
      <c r="C172" s="12" t="s">
        <v>59</v>
      </c>
      <c r="D172" s="12">
        <v>27</v>
      </c>
      <c r="E172" s="12">
        <v>2000</v>
      </c>
      <c r="F172" s="12">
        <v>220</v>
      </c>
      <c r="G172" s="12">
        <v>3000</v>
      </c>
      <c r="H172" s="12"/>
      <c r="I172" s="12" t="s">
        <v>448</v>
      </c>
    </row>
    <row r="173" spans="1:9" ht="30" hidden="1" customHeight="1">
      <c r="A173" s="12" t="s">
        <v>449</v>
      </c>
      <c r="B173" s="27" t="s">
        <v>960</v>
      </c>
      <c r="C173" s="12" t="s">
        <v>59</v>
      </c>
      <c r="D173" s="12">
        <v>30</v>
      </c>
      <c r="E173" s="12">
        <v>3000</v>
      </c>
      <c r="F173" s="12">
        <v>300</v>
      </c>
      <c r="G173" s="12">
        <v>0</v>
      </c>
      <c r="H173" s="12"/>
      <c r="I173" s="12" t="s">
        <v>450</v>
      </c>
    </row>
    <row r="174" spans="1:9" ht="30" hidden="1" customHeight="1">
      <c r="A174" s="12" t="s">
        <v>451</v>
      </c>
      <c r="B174" s="27" t="s">
        <v>960</v>
      </c>
      <c r="C174" s="12" t="s">
        <v>59</v>
      </c>
      <c r="D174" s="12">
        <v>32.6</v>
      </c>
      <c r="E174" s="12">
        <v>5000</v>
      </c>
      <c r="F174" s="12">
        <v>400</v>
      </c>
      <c r="G174" s="12">
        <v>0</v>
      </c>
      <c r="H174" s="12"/>
      <c r="I174" s="12" t="s">
        <v>452</v>
      </c>
    </row>
    <row r="175" spans="1:9" s="24" customFormat="1" ht="30" customHeight="1">
      <c r="A175" s="20" t="s">
        <v>453</v>
      </c>
      <c r="B175" s="18" t="str">
        <f t="shared" ref="B175" si="0">HYPERLINK("https://map.naver.com/v5/search/" &amp; A175, "지도")</f>
        <v>지도</v>
      </c>
      <c r="C175" s="20" t="s">
        <v>59</v>
      </c>
      <c r="D175" s="20">
        <v>35</v>
      </c>
      <c r="E175" s="20">
        <v>4000</v>
      </c>
      <c r="F175" s="20">
        <v>365</v>
      </c>
      <c r="G175" s="20">
        <v>8000</v>
      </c>
      <c r="H175" s="20"/>
      <c r="I175" s="20" t="s">
        <v>454</v>
      </c>
    </row>
    <row r="177" spans="1:9" ht="30" hidden="1" customHeight="1">
      <c r="A177" s="2" t="s">
        <v>456</v>
      </c>
      <c r="B177" s="15" t="s">
        <v>621</v>
      </c>
      <c r="C177" s="2" t="s">
        <v>385</v>
      </c>
      <c r="D177" s="2">
        <v>25</v>
      </c>
      <c r="E177" s="2">
        <v>4000</v>
      </c>
      <c r="F177" s="2">
        <v>370</v>
      </c>
      <c r="G177" s="2">
        <v>15000</v>
      </c>
      <c r="I177" s="2" t="s">
        <v>457</v>
      </c>
    </row>
    <row r="178" spans="1:9" ht="30" hidden="1" customHeight="1">
      <c r="A178" s="2" t="s">
        <v>458</v>
      </c>
      <c r="B178" s="15" t="s">
        <v>622</v>
      </c>
      <c r="C178" s="2" t="s">
        <v>459</v>
      </c>
      <c r="D178" s="2">
        <v>19</v>
      </c>
      <c r="E178" s="2">
        <v>5000</v>
      </c>
      <c r="F178" s="2">
        <v>200</v>
      </c>
      <c r="G178" s="2">
        <v>0</v>
      </c>
      <c r="I178" s="2" t="s">
        <v>460</v>
      </c>
    </row>
    <row r="179" spans="1:9" ht="30" hidden="1" customHeight="1">
      <c r="A179" s="2" t="s">
        <v>461</v>
      </c>
      <c r="B179" s="2" t="s">
        <v>462</v>
      </c>
      <c r="C179" s="2" t="s">
        <v>463</v>
      </c>
      <c r="D179" s="2">
        <v>28</v>
      </c>
      <c r="E179" s="2">
        <v>4500</v>
      </c>
      <c r="F179" s="2">
        <v>240</v>
      </c>
      <c r="G179" s="2">
        <v>6000</v>
      </c>
      <c r="I179" s="2" t="s">
        <v>464</v>
      </c>
    </row>
    <row r="180" spans="1:9" ht="30" hidden="1" customHeight="1">
      <c r="A180" s="2" t="s">
        <v>465</v>
      </c>
      <c r="B180" s="2" t="s">
        <v>466</v>
      </c>
      <c r="C180" s="2" t="s">
        <v>467</v>
      </c>
      <c r="D180" s="2">
        <v>17</v>
      </c>
      <c r="E180" s="2">
        <v>3000</v>
      </c>
      <c r="F180" s="2">
        <v>180</v>
      </c>
      <c r="G180" s="2">
        <v>10000</v>
      </c>
      <c r="I180" s="2" t="s">
        <v>468</v>
      </c>
    </row>
    <row r="181" spans="1:9" ht="30" hidden="1" customHeight="1">
      <c r="A181" s="2" t="s">
        <v>469</v>
      </c>
      <c r="B181" s="2" t="s">
        <v>470</v>
      </c>
      <c r="C181" s="2" t="s">
        <v>471</v>
      </c>
      <c r="D181" s="2">
        <v>18</v>
      </c>
      <c r="E181" s="2">
        <v>4000</v>
      </c>
      <c r="F181" s="2">
        <v>320</v>
      </c>
      <c r="G181" s="2">
        <v>2000</v>
      </c>
      <c r="H181" s="2">
        <v>10</v>
      </c>
      <c r="I181" s="2" t="s">
        <v>472</v>
      </c>
    </row>
    <row r="182" spans="1:9" ht="30" hidden="1" customHeight="1">
      <c r="A182" s="2" t="s">
        <v>473</v>
      </c>
      <c r="B182" s="2" t="s">
        <v>474</v>
      </c>
      <c r="C182" s="2" t="s">
        <v>475</v>
      </c>
      <c r="D182" s="2">
        <v>9</v>
      </c>
      <c r="E182" s="2">
        <v>5000</v>
      </c>
      <c r="F182" s="2">
        <v>200</v>
      </c>
      <c r="G182" s="2">
        <v>2000</v>
      </c>
      <c r="I182" s="2" t="s">
        <v>476</v>
      </c>
    </row>
    <row r="183" spans="1:9" ht="30" hidden="1" customHeight="1">
      <c r="A183" s="2" t="s">
        <v>477</v>
      </c>
      <c r="B183" s="2" t="s">
        <v>478</v>
      </c>
      <c r="C183" s="2" t="s">
        <v>479</v>
      </c>
      <c r="D183" s="2">
        <v>20</v>
      </c>
      <c r="E183" s="2">
        <v>7000</v>
      </c>
      <c r="F183" s="2">
        <v>400</v>
      </c>
      <c r="G183" s="2">
        <v>0</v>
      </c>
      <c r="I183" s="2" t="s">
        <v>480</v>
      </c>
    </row>
    <row r="184" spans="1:9" ht="30" hidden="1" customHeight="1">
      <c r="A184" s="2" t="s">
        <v>481</v>
      </c>
      <c r="B184" s="2" t="s">
        <v>482</v>
      </c>
      <c r="C184" s="2" t="s">
        <v>200</v>
      </c>
      <c r="D184" s="2">
        <v>18</v>
      </c>
      <c r="E184" s="2">
        <v>1500</v>
      </c>
      <c r="F184" s="2">
        <v>160</v>
      </c>
      <c r="G184" s="2">
        <v>1800</v>
      </c>
      <c r="H184" s="2">
        <v>0</v>
      </c>
      <c r="I184" s="2" t="s">
        <v>483</v>
      </c>
    </row>
    <row r="185" spans="1:9" ht="30" hidden="1" customHeight="1">
      <c r="A185" s="2" t="s">
        <v>484</v>
      </c>
      <c r="B185" s="2" t="s">
        <v>485</v>
      </c>
      <c r="C185" s="2" t="s">
        <v>486</v>
      </c>
      <c r="D185" s="2">
        <v>33.81</v>
      </c>
      <c r="E185" s="2">
        <v>1000</v>
      </c>
      <c r="F185" s="2">
        <v>170</v>
      </c>
      <c r="G185" s="2">
        <v>3000</v>
      </c>
      <c r="I185" s="2" t="s">
        <v>487</v>
      </c>
    </row>
    <row r="186" spans="1:9" ht="30" hidden="1" customHeight="1">
      <c r="A186" s="2" t="s">
        <v>488</v>
      </c>
      <c r="B186" s="2" t="s">
        <v>489</v>
      </c>
      <c r="C186" s="2" t="s">
        <v>490</v>
      </c>
      <c r="D186" s="2">
        <v>46</v>
      </c>
      <c r="E186" s="2">
        <v>15000</v>
      </c>
      <c r="F186" s="2">
        <v>700</v>
      </c>
      <c r="G186" s="2">
        <v>0</v>
      </c>
      <c r="I186" s="2" t="s">
        <v>491</v>
      </c>
    </row>
    <row r="187" spans="1:9" ht="30" hidden="1" customHeight="1">
      <c r="A187" s="2" t="s">
        <v>492</v>
      </c>
      <c r="B187" s="2" t="s">
        <v>493</v>
      </c>
      <c r="C187" s="2" t="s">
        <v>494</v>
      </c>
      <c r="D187" s="2">
        <v>30</v>
      </c>
      <c r="E187" s="2">
        <v>20000</v>
      </c>
      <c r="F187" s="2">
        <v>850</v>
      </c>
      <c r="G187" s="2">
        <v>0</v>
      </c>
      <c r="I187" s="2" t="s">
        <v>495</v>
      </c>
    </row>
    <row r="188" spans="1:9" ht="30" hidden="1" customHeight="1">
      <c r="A188" s="2" t="s">
        <v>496</v>
      </c>
      <c r="B188" s="2" t="s">
        <v>497</v>
      </c>
      <c r="C188" s="2" t="s">
        <v>450</v>
      </c>
      <c r="D188" s="2" t="s">
        <v>498</v>
      </c>
      <c r="E188" s="2">
        <v>7000</v>
      </c>
      <c r="F188" s="2">
        <v>400</v>
      </c>
      <c r="G188" s="2">
        <v>0</v>
      </c>
      <c r="I188" s="2" t="s">
        <v>499</v>
      </c>
    </row>
    <row r="189" spans="1:9" ht="30" hidden="1" customHeight="1">
      <c r="A189" s="2" t="s">
        <v>500</v>
      </c>
      <c r="B189" s="15" t="s">
        <v>623</v>
      </c>
      <c r="C189" s="2" t="s">
        <v>501</v>
      </c>
      <c r="D189" s="2" t="s">
        <v>502</v>
      </c>
      <c r="E189" s="2">
        <v>5000</v>
      </c>
      <c r="F189" s="2">
        <v>800</v>
      </c>
      <c r="G189" s="2">
        <v>0</v>
      </c>
      <c r="I189" s="2" t="s">
        <v>503</v>
      </c>
    </row>
    <row r="190" spans="1:9" ht="30" hidden="1" customHeight="1">
      <c r="A190" s="2" t="s">
        <v>504</v>
      </c>
      <c r="B190" s="2" t="s">
        <v>505</v>
      </c>
      <c r="C190" s="2" t="s">
        <v>357</v>
      </c>
      <c r="D190" s="2">
        <v>28</v>
      </c>
      <c r="E190" s="2">
        <v>10000</v>
      </c>
      <c r="F190" s="2">
        <v>650</v>
      </c>
      <c r="G190" s="2">
        <v>0</v>
      </c>
      <c r="I190" s="2" t="s">
        <v>506</v>
      </c>
    </row>
    <row r="191" spans="1:9" ht="30" hidden="1" customHeight="1">
      <c r="A191" s="2" t="s">
        <v>507</v>
      </c>
      <c r="B191" s="2" t="s">
        <v>508</v>
      </c>
      <c r="C191" s="2" t="s">
        <v>509</v>
      </c>
      <c r="D191" s="2">
        <v>52</v>
      </c>
      <c r="E191" s="2">
        <v>6000</v>
      </c>
      <c r="F191" s="2">
        <v>520</v>
      </c>
      <c r="G191" s="2">
        <v>0</v>
      </c>
      <c r="I191" s="2" t="s">
        <v>510</v>
      </c>
    </row>
    <row r="192" spans="1:9" ht="30" hidden="1" customHeight="1">
      <c r="A192" s="2" t="s">
        <v>511</v>
      </c>
      <c r="B192" s="2" t="s">
        <v>512</v>
      </c>
      <c r="C192" s="2" t="s">
        <v>513</v>
      </c>
      <c r="D192" s="2">
        <v>33</v>
      </c>
      <c r="E192" s="2">
        <v>10000</v>
      </c>
      <c r="F192" s="2">
        <v>740</v>
      </c>
      <c r="G192" s="2">
        <v>10000</v>
      </c>
      <c r="I192" s="2" t="s">
        <v>514</v>
      </c>
    </row>
    <row r="193" spans="1:9" ht="30" hidden="1" customHeight="1">
      <c r="A193" s="2" t="s">
        <v>515</v>
      </c>
      <c r="B193" s="2" t="s">
        <v>516</v>
      </c>
      <c r="C193" s="2" t="s">
        <v>517</v>
      </c>
      <c r="D193" s="2">
        <v>20</v>
      </c>
      <c r="E193" s="2">
        <v>5000</v>
      </c>
      <c r="F193" s="2">
        <v>340</v>
      </c>
      <c r="G193" s="2">
        <v>7000</v>
      </c>
      <c r="I193" s="2" t="s">
        <v>518</v>
      </c>
    </row>
    <row r="194" spans="1:9" ht="30" hidden="1" customHeight="1">
      <c r="A194" s="2" t="s">
        <v>519</v>
      </c>
      <c r="B194" s="2" t="s">
        <v>520</v>
      </c>
      <c r="C194" s="2" t="s">
        <v>521</v>
      </c>
      <c r="D194" s="2">
        <v>23</v>
      </c>
      <c r="E194" s="2">
        <v>10000</v>
      </c>
      <c r="F194" s="2">
        <v>600</v>
      </c>
      <c r="G194" s="2">
        <v>18000</v>
      </c>
      <c r="I194" s="2" t="s">
        <v>522</v>
      </c>
    </row>
    <row r="195" spans="1:9" ht="30" hidden="1" customHeight="1">
      <c r="A195" s="2" t="s">
        <v>523</v>
      </c>
      <c r="B195" s="2" t="s">
        <v>524</v>
      </c>
      <c r="C195" s="2" t="s">
        <v>200</v>
      </c>
      <c r="D195" s="2">
        <v>60</v>
      </c>
      <c r="E195" s="2">
        <v>12000</v>
      </c>
      <c r="F195" s="2">
        <v>800</v>
      </c>
      <c r="G195" s="2">
        <v>0</v>
      </c>
      <c r="H195" s="2">
        <v>90</v>
      </c>
      <c r="I195" s="2" t="s">
        <v>525</v>
      </c>
    </row>
    <row r="196" spans="1:9" ht="30" hidden="1" customHeight="1">
      <c r="A196" s="2" t="s">
        <v>526</v>
      </c>
      <c r="B196" s="2" t="s">
        <v>527</v>
      </c>
      <c r="C196" s="2" t="s">
        <v>528</v>
      </c>
      <c r="D196" s="2">
        <v>20</v>
      </c>
      <c r="E196" s="2">
        <v>5000</v>
      </c>
      <c r="F196" s="2">
        <v>300</v>
      </c>
      <c r="G196" s="2">
        <v>1000</v>
      </c>
      <c r="I196" s="2" t="s">
        <v>529</v>
      </c>
    </row>
    <row r="197" spans="1:9" ht="30" hidden="1" customHeight="1">
      <c r="A197" s="2" t="s">
        <v>530</v>
      </c>
      <c r="B197" s="2" t="s">
        <v>531</v>
      </c>
      <c r="C197" s="2" t="s">
        <v>532</v>
      </c>
      <c r="D197" s="2">
        <v>20</v>
      </c>
      <c r="E197" s="2">
        <v>3000</v>
      </c>
      <c r="F197" s="2">
        <v>220</v>
      </c>
      <c r="G197" s="2">
        <v>6000</v>
      </c>
      <c r="I197" s="2" t="s">
        <v>464</v>
      </c>
    </row>
    <row r="198" spans="1:9" ht="30" hidden="1" customHeight="1">
      <c r="A198" s="2" t="s">
        <v>533</v>
      </c>
      <c r="B198" s="2" t="s">
        <v>534</v>
      </c>
      <c r="C198" s="2" t="s">
        <v>535</v>
      </c>
      <c r="D198" s="2">
        <v>26</v>
      </c>
      <c r="E198" s="2">
        <v>8000</v>
      </c>
      <c r="F198" s="2">
        <v>600</v>
      </c>
      <c r="G198" s="2">
        <v>22000</v>
      </c>
      <c r="I198" s="2" t="s">
        <v>536</v>
      </c>
    </row>
    <row r="199" spans="1:9" ht="30" hidden="1" customHeight="1">
      <c r="A199" s="2" t="s">
        <v>537</v>
      </c>
      <c r="B199" s="2" t="s">
        <v>538</v>
      </c>
      <c r="C199" s="2" t="s">
        <v>539</v>
      </c>
      <c r="D199" s="2" t="s">
        <v>540</v>
      </c>
      <c r="E199" s="2">
        <v>10000</v>
      </c>
      <c r="F199" s="2">
        <v>650</v>
      </c>
      <c r="G199" s="2">
        <v>1500</v>
      </c>
      <c r="H199" s="2">
        <v>40</v>
      </c>
      <c r="I199" s="2" t="s">
        <v>541</v>
      </c>
    </row>
    <row r="200" spans="1:9" ht="30" hidden="1" customHeight="1">
      <c r="A200" s="2" t="s">
        <v>542</v>
      </c>
      <c r="B200" s="2" t="s">
        <v>543</v>
      </c>
      <c r="C200" s="2" t="s">
        <v>544</v>
      </c>
      <c r="D200" s="2">
        <v>30</v>
      </c>
      <c r="E200" s="2">
        <v>4000</v>
      </c>
      <c r="F200" s="2">
        <v>200</v>
      </c>
      <c r="G200" s="2">
        <v>3000</v>
      </c>
      <c r="H200" s="2">
        <v>30</v>
      </c>
      <c r="I200" s="2" t="s">
        <v>545</v>
      </c>
    </row>
    <row r="201" spans="1:9" ht="30" hidden="1" customHeight="1">
      <c r="A201" s="2" t="s">
        <v>546</v>
      </c>
      <c r="B201" s="2" t="s">
        <v>547</v>
      </c>
      <c r="C201" s="2" t="s">
        <v>548</v>
      </c>
      <c r="D201" s="2">
        <v>40</v>
      </c>
      <c r="E201" s="2">
        <v>5000</v>
      </c>
      <c r="F201" s="2">
        <v>430</v>
      </c>
      <c r="G201" s="2">
        <v>0</v>
      </c>
      <c r="I201" s="2" t="s">
        <v>514</v>
      </c>
    </row>
    <row r="202" spans="1:9" ht="30" hidden="1" customHeight="1">
      <c r="A202" s="2" t="s">
        <v>624</v>
      </c>
      <c r="B202" s="2" t="s">
        <v>549</v>
      </c>
      <c r="C202" s="2" t="s">
        <v>550</v>
      </c>
      <c r="D202" s="2">
        <v>36</v>
      </c>
      <c r="E202" s="2">
        <v>5000</v>
      </c>
      <c r="F202" s="2">
        <v>400</v>
      </c>
      <c r="G202" s="2">
        <v>0</v>
      </c>
      <c r="I202" s="2" t="s">
        <v>551</v>
      </c>
    </row>
    <row r="203" spans="1:9" ht="30" hidden="1" customHeight="1">
      <c r="A203" s="2" t="s">
        <v>552</v>
      </c>
      <c r="B203" s="2" t="s">
        <v>553</v>
      </c>
      <c r="C203" s="2" t="s">
        <v>554</v>
      </c>
      <c r="D203" s="2">
        <v>30</v>
      </c>
      <c r="E203" s="2">
        <v>3000</v>
      </c>
      <c r="F203" s="2">
        <v>260</v>
      </c>
      <c r="G203" s="2">
        <v>4500</v>
      </c>
      <c r="I203" s="2" t="s">
        <v>555</v>
      </c>
    </row>
    <row r="204" spans="1:9" ht="30" hidden="1" customHeight="1">
      <c r="A204" s="2" t="s">
        <v>556</v>
      </c>
      <c r="B204" s="2" t="s">
        <v>557</v>
      </c>
      <c r="C204" s="2" t="s">
        <v>558</v>
      </c>
      <c r="D204" s="2" t="s">
        <v>559</v>
      </c>
      <c r="E204" s="2">
        <v>20000</v>
      </c>
      <c r="F204" s="2">
        <v>1000</v>
      </c>
      <c r="G204" s="2">
        <v>0</v>
      </c>
      <c r="I204" s="2" t="s">
        <v>560</v>
      </c>
    </row>
    <row r="206" spans="1:9" ht="30" hidden="1" customHeight="1">
      <c r="A206" s="2" t="s">
        <v>561</v>
      </c>
      <c r="B206" s="2" t="s">
        <v>562</v>
      </c>
      <c r="C206" s="2" t="s">
        <v>563</v>
      </c>
      <c r="D206" s="2">
        <v>18</v>
      </c>
      <c r="E206" s="2">
        <v>3000</v>
      </c>
      <c r="F206" s="2">
        <v>250</v>
      </c>
      <c r="G206" s="2">
        <v>0</v>
      </c>
      <c r="I206" s="2" t="s">
        <v>66</v>
      </c>
    </row>
    <row r="207" spans="1:9" ht="30" hidden="1" customHeight="1">
      <c r="A207" s="2" t="s">
        <v>564</v>
      </c>
      <c r="B207" s="2" t="s">
        <v>565</v>
      </c>
      <c r="C207" s="2" t="s">
        <v>566</v>
      </c>
      <c r="D207" s="2">
        <v>26</v>
      </c>
      <c r="E207" s="2">
        <v>5000</v>
      </c>
      <c r="F207" s="2">
        <v>320</v>
      </c>
      <c r="G207" s="2">
        <v>0</v>
      </c>
      <c r="I207" s="2" t="s">
        <v>567</v>
      </c>
    </row>
    <row r="208" spans="1:9" ht="30" hidden="1" customHeight="1">
      <c r="A208" s="2" t="s">
        <v>568</v>
      </c>
      <c r="B208" s="2" t="s">
        <v>569</v>
      </c>
      <c r="C208" s="2" t="s">
        <v>59</v>
      </c>
      <c r="D208" s="2">
        <v>27</v>
      </c>
      <c r="E208" s="2">
        <v>5000</v>
      </c>
      <c r="F208" s="2">
        <v>430</v>
      </c>
      <c r="G208" s="2">
        <v>100</v>
      </c>
      <c r="H208" s="2">
        <v>40</v>
      </c>
      <c r="I208" s="2" t="s">
        <v>570</v>
      </c>
    </row>
    <row r="209" spans="1:9" ht="30" hidden="1" customHeight="1">
      <c r="A209" s="2" t="s">
        <v>571</v>
      </c>
      <c r="B209" s="2" t="s">
        <v>572</v>
      </c>
      <c r="C209" s="2" t="s">
        <v>573</v>
      </c>
      <c r="D209" s="2">
        <v>30</v>
      </c>
      <c r="E209" s="2">
        <v>20000</v>
      </c>
      <c r="F209" s="2">
        <v>1700</v>
      </c>
      <c r="G209" s="2">
        <v>0</v>
      </c>
      <c r="I209" s="2" t="s">
        <v>574</v>
      </c>
    </row>
    <row r="210" spans="1:9" ht="30" hidden="1" customHeight="1">
      <c r="A210" s="2" t="s">
        <v>575</v>
      </c>
      <c r="B210" s="2" t="s">
        <v>576</v>
      </c>
      <c r="C210" s="2" t="s">
        <v>577</v>
      </c>
      <c r="D210" s="2">
        <v>27</v>
      </c>
      <c r="E210" s="2">
        <v>11000</v>
      </c>
      <c r="F210" s="2">
        <v>560</v>
      </c>
      <c r="G210" s="2">
        <v>0</v>
      </c>
      <c r="H210" s="2">
        <v>40</v>
      </c>
      <c r="I210" s="2" t="s">
        <v>578</v>
      </c>
    </row>
    <row r="211" spans="1:9" ht="30" hidden="1" customHeight="1">
      <c r="A211" s="2" t="s">
        <v>579</v>
      </c>
      <c r="B211" s="2" t="s">
        <v>580</v>
      </c>
      <c r="C211" s="2" t="s">
        <v>66</v>
      </c>
      <c r="D211" s="2">
        <v>15</v>
      </c>
      <c r="E211" s="2">
        <v>5000</v>
      </c>
      <c r="F211" s="2">
        <v>400</v>
      </c>
      <c r="G211" s="2">
        <v>0</v>
      </c>
      <c r="I211" s="2" t="s">
        <v>581</v>
      </c>
    </row>
    <row r="212" spans="1:9" ht="30" hidden="1" customHeight="1">
      <c r="A212" s="2" t="s">
        <v>582</v>
      </c>
      <c r="B212" s="2" t="s">
        <v>583</v>
      </c>
      <c r="C212" s="2" t="s">
        <v>584</v>
      </c>
      <c r="D212" s="2">
        <v>67</v>
      </c>
      <c r="E212" s="2">
        <v>25000</v>
      </c>
      <c r="F212" s="2">
        <v>1300</v>
      </c>
      <c r="G212" s="2">
        <v>0</v>
      </c>
      <c r="I212" s="2" t="s">
        <v>66</v>
      </c>
    </row>
    <row r="213" spans="1:9" ht="30" hidden="1" customHeight="1">
      <c r="A213" s="2" t="s">
        <v>585</v>
      </c>
      <c r="B213" s="2" t="s">
        <v>586</v>
      </c>
      <c r="C213" s="2" t="s">
        <v>357</v>
      </c>
      <c r="D213" s="2">
        <v>9</v>
      </c>
      <c r="E213" s="2">
        <v>3500</v>
      </c>
      <c r="F213" s="2">
        <v>180</v>
      </c>
      <c r="G213" s="2">
        <v>0</v>
      </c>
      <c r="H213" s="2">
        <v>9</v>
      </c>
      <c r="I213" s="2" t="s">
        <v>587</v>
      </c>
    </row>
    <row r="214" spans="1:9" ht="30" hidden="1" customHeight="1">
      <c r="A214" s="2" t="s">
        <v>585</v>
      </c>
      <c r="B214" s="2" t="s">
        <v>586</v>
      </c>
      <c r="C214" s="2" t="s">
        <v>59</v>
      </c>
      <c r="D214" s="2">
        <v>12</v>
      </c>
      <c r="E214" s="2">
        <v>5000</v>
      </c>
      <c r="F214" s="2">
        <v>240</v>
      </c>
      <c r="G214" s="2">
        <v>0</v>
      </c>
      <c r="H214" s="2">
        <v>12</v>
      </c>
      <c r="I214" s="2" t="s">
        <v>588</v>
      </c>
    </row>
    <row r="215" spans="1:9" ht="30" hidden="1" customHeight="1">
      <c r="A215" s="2" t="s">
        <v>589</v>
      </c>
      <c r="B215" s="2" t="s">
        <v>590</v>
      </c>
      <c r="C215" s="2" t="s">
        <v>584</v>
      </c>
      <c r="D215" s="2">
        <v>40</v>
      </c>
      <c r="E215" s="2">
        <v>20000</v>
      </c>
      <c r="F215" s="2">
        <v>950</v>
      </c>
      <c r="G215" s="2">
        <v>0</v>
      </c>
      <c r="I215" s="2" t="s">
        <v>66</v>
      </c>
    </row>
    <row r="216" spans="1:9" ht="30" hidden="1" customHeight="1">
      <c r="A216" s="2" t="s">
        <v>591</v>
      </c>
      <c r="B216" s="2" t="s">
        <v>592</v>
      </c>
      <c r="C216" s="2" t="s">
        <v>59</v>
      </c>
      <c r="D216" s="2">
        <v>30</v>
      </c>
      <c r="E216" s="2">
        <v>4500</v>
      </c>
      <c r="F216" s="2">
        <v>350</v>
      </c>
      <c r="G216" s="2">
        <v>8500</v>
      </c>
    </row>
    <row r="217" spans="1:9" ht="30" hidden="1" customHeight="1">
      <c r="A217" s="2" t="s">
        <v>593</v>
      </c>
      <c r="B217" s="2" t="s">
        <v>594</v>
      </c>
      <c r="C217" s="2" t="s">
        <v>59</v>
      </c>
      <c r="D217" s="2">
        <v>15</v>
      </c>
      <c r="E217" s="2">
        <v>3000</v>
      </c>
      <c r="F217" s="2">
        <v>170</v>
      </c>
      <c r="G217" s="2">
        <v>7000</v>
      </c>
    </row>
    <row r="218" spans="1:9" ht="30" hidden="1" customHeight="1">
      <c r="A218" s="2" t="s">
        <v>595</v>
      </c>
      <c r="B218" s="2" t="s">
        <v>596</v>
      </c>
      <c r="C218" s="2" t="s">
        <v>59</v>
      </c>
      <c r="D218" s="2">
        <v>20</v>
      </c>
      <c r="E218" s="2">
        <v>6000</v>
      </c>
      <c r="F218" s="2">
        <v>300</v>
      </c>
      <c r="G218" s="2">
        <v>20000</v>
      </c>
    </row>
    <row r="219" spans="1:9" ht="30" hidden="1" customHeight="1">
      <c r="A219" s="2" t="s">
        <v>597</v>
      </c>
      <c r="B219" s="2" t="s">
        <v>598</v>
      </c>
      <c r="C219" s="2" t="s">
        <v>59</v>
      </c>
      <c r="D219" s="2">
        <v>20</v>
      </c>
      <c r="E219" s="2">
        <v>7000</v>
      </c>
      <c r="F219" s="2">
        <v>510</v>
      </c>
      <c r="G219" s="2">
        <v>13000</v>
      </c>
      <c r="I219" s="2" t="s">
        <v>599</v>
      </c>
    </row>
    <row r="220" spans="1:9" ht="30" hidden="1" customHeight="1">
      <c r="A220" s="2" t="s">
        <v>600</v>
      </c>
      <c r="B220" s="2" t="s">
        <v>601</v>
      </c>
      <c r="C220" s="2" t="s">
        <v>602</v>
      </c>
      <c r="D220" s="2">
        <v>40</v>
      </c>
      <c r="E220" s="2">
        <v>2000</v>
      </c>
      <c r="F220" s="2">
        <v>250</v>
      </c>
      <c r="G220" s="2">
        <v>5000</v>
      </c>
      <c r="I220" s="2" t="s">
        <v>603</v>
      </c>
    </row>
    <row r="221" spans="1:9" ht="30" hidden="1" customHeight="1">
      <c r="A221" s="2" t="s">
        <v>604</v>
      </c>
      <c r="B221" s="2" t="s">
        <v>605</v>
      </c>
      <c r="C221" s="2" t="s">
        <v>200</v>
      </c>
      <c r="D221" s="2" t="s">
        <v>606</v>
      </c>
      <c r="E221" s="2">
        <v>9000</v>
      </c>
      <c r="F221" s="2">
        <v>550</v>
      </c>
      <c r="G221" s="2">
        <v>0</v>
      </c>
      <c r="I221" s="2" t="s">
        <v>607</v>
      </c>
    </row>
    <row r="222" spans="1:9" ht="30" hidden="1" customHeight="1">
      <c r="A222" s="2" t="s">
        <v>608</v>
      </c>
      <c r="B222" s="2" t="s">
        <v>609</v>
      </c>
      <c r="C222" s="2" t="s">
        <v>60</v>
      </c>
      <c r="D222" s="2">
        <v>37</v>
      </c>
      <c r="E222" s="2">
        <v>5500</v>
      </c>
      <c r="F222" s="2">
        <v>320</v>
      </c>
      <c r="G222" s="2">
        <v>7000</v>
      </c>
    </row>
    <row r="223" spans="1:9" ht="30" hidden="1" customHeight="1">
      <c r="A223" s="2" t="s">
        <v>610</v>
      </c>
      <c r="B223" s="2" t="s">
        <v>611</v>
      </c>
      <c r="C223" s="2" t="s">
        <v>59</v>
      </c>
      <c r="D223" s="2">
        <v>20</v>
      </c>
      <c r="E223" s="2">
        <v>2000</v>
      </c>
      <c r="F223" s="2">
        <v>209</v>
      </c>
      <c r="G223" s="2">
        <v>10000</v>
      </c>
    </row>
    <row r="224" spans="1:9" ht="30" hidden="1" customHeight="1">
      <c r="A224" s="2" t="s">
        <v>612</v>
      </c>
      <c r="B224" s="2" t="s">
        <v>613</v>
      </c>
      <c r="C224" s="2" t="s">
        <v>110</v>
      </c>
      <c r="D224" s="2">
        <v>36</v>
      </c>
      <c r="E224" s="2">
        <v>8000</v>
      </c>
      <c r="F224" s="2">
        <v>573</v>
      </c>
      <c r="G224" s="2">
        <v>0</v>
      </c>
      <c r="I224" s="2" t="s">
        <v>614</v>
      </c>
    </row>
    <row r="225" spans="1:9" ht="30" hidden="1" customHeight="1">
      <c r="A225" s="2" t="s">
        <v>615</v>
      </c>
      <c r="B225" s="2" t="s">
        <v>616</v>
      </c>
      <c r="C225" s="2" t="s">
        <v>59</v>
      </c>
      <c r="D225" s="2">
        <v>38</v>
      </c>
      <c r="E225" s="2">
        <v>5000</v>
      </c>
      <c r="F225" s="2">
        <v>380</v>
      </c>
      <c r="G225" s="2">
        <v>15000</v>
      </c>
    </row>
    <row r="226" spans="1:9" ht="30" hidden="1" customHeight="1">
      <c r="A226" s="2" t="s">
        <v>617</v>
      </c>
      <c r="B226" s="2" t="s">
        <v>618</v>
      </c>
      <c r="C226" s="2" t="s">
        <v>619</v>
      </c>
      <c r="D226" s="2">
        <v>49</v>
      </c>
      <c r="E226" s="2">
        <v>20000</v>
      </c>
      <c r="F226" s="2">
        <v>1215</v>
      </c>
      <c r="G226" s="2">
        <v>11000</v>
      </c>
      <c r="I226" s="2" t="s">
        <v>620</v>
      </c>
    </row>
    <row r="228" spans="1:9" ht="30" hidden="1" customHeight="1">
      <c r="A228" s="2" t="s">
        <v>0</v>
      </c>
      <c r="B228" s="2" t="s">
        <v>630</v>
      </c>
      <c r="C228" s="2" t="s">
        <v>289</v>
      </c>
      <c r="D228" s="2" t="s">
        <v>290</v>
      </c>
      <c r="E228" s="2" t="s">
        <v>4</v>
      </c>
      <c r="F228" s="2" t="s">
        <v>5</v>
      </c>
      <c r="G228" s="2" t="s">
        <v>6</v>
      </c>
      <c r="H228" s="2" t="s">
        <v>7</v>
      </c>
      <c r="I228" s="2" t="s">
        <v>8</v>
      </c>
    </row>
    <row r="229" spans="1:9" ht="30" hidden="1" customHeight="1">
      <c r="A229" s="2" t="s">
        <v>631</v>
      </c>
      <c r="B229" s="15" t="s">
        <v>643</v>
      </c>
      <c r="C229" s="2" t="s">
        <v>625</v>
      </c>
      <c r="D229" s="2">
        <v>58</v>
      </c>
      <c r="E229" s="2">
        <v>5000</v>
      </c>
      <c r="F229" s="2">
        <v>270</v>
      </c>
      <c r="G229" s="2">
        <v>5000</v>
      </c>
      <c r="I229" s="2" t="s">
        <v>625</v>
      </c>
    </row>
    <row r="230" spans="1:9" ht="30" hidden="1" customHeight="1">
      <c r="A230" s="2" t="s">
        <v>628</v>
      </c>
      <c r="B230" s="15" t="s">
        <v>649</v>
      </c>
      <c r="C230" s="2" t="s">
        <v>563</v>
      </c>
      <c r="D230" s="2">
        <v>140</v>
      </c>
      <c r="E230" s="2">
        <v>18000</v>
      </c>
      <c r="F230" s="2">
        <v>1500</v>
      </c>
      <c r="G230" s="2">
        <v>0</v>
      </c>
      <c r="H230" s="2" t="s">
        <v>626</v>
      </c>
      <c r="I230" s="2" t="s">
        <v>632</v>
      </c>
    </row>
    <row r="231" spans="1:9" ht="30" hidden="1" customHeight="1">
      <c r="A231" s="2" t="s">
        <v>629</v>
      </c>
      <c r="B231" s="15" t="s">
        <v>648</v>
      </c>
      <c r="C231" s="2" t="s">
        <v>563</v>
      </c>
      <c r="D231" s="2">
        <v>16</v>
      </c>
      <c r="E231" s="2">
        <v>7000</v>
      </c>
      <c r="F231" s="2">
        <v>320</v>
      </c>
      <c r="G231" s="2">
        <v>0</v>
      </c>
      <c r="I231" s="2" t="s">
        <v>633</v>
      </c>
    </row>
    <row r="232" spans="1:9" ht="30" hidden="1" customHeight="1">
      <c r="A232" s="2" t="s">
        <v>634</v>
      </c>
      <c r="B232" s="15" t="s">
        <v>647</v>
      </c>
      <c r="C232" s="2" t="s">
        <v>635</v>
      </c>
      <c r="D232" s="2">
        <v>20</v>
      </c>
      <c r="E232" s="2">
        <v>7000</v>
      </c>
      <c r="F232" s="2">
        <v>500</v>
      </c>
      <c r="G232" s="2">
        <v>8000</v>
      </c>
      <c r="I232" s="2" t="s">
        <v>627</v>
      </c>
    </row>
    <row r="233" spans="1:9" ht="30" hidden="1" customHeight="1">
      <c r="A233" s="2" t="s">
        <v>636</v>
      </c>
      <c r="B233" s="15" t="s">
        <v>645</v>
      </c>
      <c r="C233" s="2" t="s">
        <v>637</v>
      </c>
      <c r="D233" s="2">
        <v>10</v>
      </c>
      <c r="E233" s="2">
        <v>5000</v>
      </c>
      <c r="F233" s="2">
        <v>160</v>
      </c>
      <c r="G233" s="2">
        <v>0</v>
      </c>
      <c r="I233" s="2" t="s">
        <v>638</v>
      </c>
    </row>
    <row r="234" spans="1:9" ht="30" hidden="1" customHeight="1">
      <c r="A234" s="2" t="s">
        <v>639</v>
      </c>
      <c r="B234" s="15" t="s">
        <v>644</v>
      </c>
      <c r="C234" s="2" t="s">
        <v>640</v>
      </c>
      <c r="D234" s="2">
        <v>24.45</v>
      </c>
      <c r="E234" s="2">
        <v>5000</v>
      </c>
      <c r="F234" s="2">
        <v>410</v>
      </c>
      <c r="G234" s="2">
        <v>0</v>
      </c>
      <c r="I234" s="2" t="s">
        <v>641</v>
      </c>
    </row>
    <row r="235" spans="1:9" ht="30" hidden="1" customHeight="1">
      <c r="A235" s="2" t="s">
        <v>646</v>
      </c>
      <c r="B235" s="15" t="s">
        <v>644</v>
      </c>
      <c r="C235" s="2" t="s">
        <v>59</v>
      </c>
      <c r="D235" s="2">
        <v>14</v>
      </c>
      <c r="E235" s="2">
        <v>5000</v>
      </c>
      <c r="F235" s="2">
        <v>350</v>
      </c>
      <c r="G235" s="2">
        <v>0</v>
      </c>
      <c r="I235" s="2" t="s">
        <v>642</v>
      </c>
    </row>
    <row r="237" spans="1:9" ht="30" hidden="1" customHeight="1">
      <c r="A237" s="2" t="s">
        <v>842</v>
      </c>
      <c r="B237" s="15" t="s">
        <v>844</v>
      </c>
      <c r="C237" s="2" t="s">
        <v>650</v>
      </c>
      <c r="D237" s="2">
        <v>39.950000000000003</v>
      </c>
      <c r="E237" s="2">
        <v>5000</v>
      </c>
      <c r="F237" s="2">
        <v>300</v>
      </c>
      <c r="G237" s="2">
        <v>0</v>
      </c>
      <c r="H237" s="2" t="s">
        <v>651</v>
      </c>
      <c r="I237" s="2" t="s">
        <v>843</v>
      </c>
    </row>
    <row r="238" spans="1:9" ht="30" hidden="1" customHeight="1">
      <c r="A238" s="2" t="s">
        <v>652</v>
      </c>
      <c r="B238" s="15" t="s">
        <v>839</v>
      </c>
      <c r="C238" s="2" t="s">
        <v>563</v>
      </c>
      <c r="D238" s="2">
        <v>15</v>
      </c>
      <c r="E238" s="2">
        <v>5000</v>
      </c>
      <c r="F238" s="2">
        <v>260</v>
      </c>
      <c r="G238" s="2">
        <v>0</v>
      </c>
      <c r="H238" s="2">
        <v>15</v>
      </c>
      <c r="I238" s="2" t="s">
        <v>653</v>
      </c>
    </row>
    <row r="239" spans="1:9" ht="30" hidden="1" customHeight="1">
      <c r="A239" s="2" t="s">
        <v>654</v>
      </c>
      <c r="B239" s="15" t="s">
        <v>840</v>
      </c>
      <c r="C239" s="2" t="s">
        <v>655</v>
      </c>
      <c r="D239" s="2">
        <v>20</v>
      </c>
      <c r="E239" s="2">
        <v>5000</v>
      </c>
      <c r="F239" s="2">
        <v>300</v>
      </c>
      <c r="G239" s="2">
        <v>8000</v>
      </c>
      <c r="I239" s="2" t="s">
        <v>656</v>
      </c>
    </row>
    <row r="240" spans="1:9" ht="30" hidden="1" customHeight="1">
      <c r="A240" s="2" t="s">
        <v>657</v>
      </c>
      <c r="B240" s="2" t="s">
        <v>658</v>
      </c>
      <c r="C240" s="2" t="s">
        <v>59</v>
      </c>
      <c r="D240" s="2">
        <v>22</v>
      </c>
      <c r="E240" s="2">
        <v>7000</v>
      </c>
      <c r="F240" s="2">
        <v>500</v>
      </c>
      <c r="G240" s="2">
        <v>500</v>
      </c>
      <c r="H240" s="2">
        <v>30</v>
      </c>
      <c r="I240" s="2" t="s">
        <v>659</v>
      </c>
    </row>
    <row r="241" spans="1:9" ht="30" hidden="1" customHeight="1">
      <c r="A241" s="2" t="s">
        <v>660</v>
      </c>
      <c r="B241" s="2" t="s">
        <v>661</v>
      </c>
      <c r="C241" s="2" t="s">
        <v>662</v>
      </c>
      <c r="D241" s="2">
        <v>11</v>
      </c>
      <c r="E241" s="2">
        <v>2000</v>
      </c>
      <c r="F241" s="2">
        <v>180</v>
      </c>
      <c r="G241" s="2">
        <v>0</v>
      </c>
      <c r="I241" s="2" t="s">
        <v>663</v>
      </c>
    </row>
    <row r="242" spans="1:9" ht="30" hidden="1" customHeight="1">
      <c r="A242" s="2" t="s">
        <v>664</v>
      </c>
      <c r="B242" s="2" t="s">
        <v>665</v>
      </c>
      <c r="C242" s="2" t="s">
        <v>666</v>
      </c>
      <c r="D242" s="2">
        <v>15</v>
      </c>
      <c r="E242" s="2">
        <v>2000</v>
      </c>
      <c r="F242" s="2">
        <v>150</v>
      </c>
      <c r="G242" s="2">
        <v>0</v>
      </c>
      <c r="I242" s="2" t="s">
        <v>667</v>
      </c>
    </row>
    <row r="243" spans="1:9" s="24" customFormat="1" ht="30" customHeight="1">
      <c r="A243" s="24" t="s">
        <v>668</v>
      </c>
      <c r="B243" s="18" t="str">
        <f t="shared" ref="B243" si="1">HYPERLINK("https://map.naver.com/v5/search/" &amp; A243, "지도")</f>
        <v>지도</v>
      </c>
      <c r="C243" s="24" t="s">
        <v>669</v>
      </c>
      <c r="D243" s="24">
        <v>43</v>
      </c>
      <c r="E243" s="24">
        <v>10000</v>
      </c>
      <c r="F243" s="24">
        <v>700</v>
      </c>
      <c r="G243" s="24">
        <v>8000</v>
      </c>
    </row>
    <row r="244" spans="1:9" ht="30" hidden="1" customHeight="1">
      <c r="A244" s="2" t="s">
        <v>670</v>
      </c>
      <c r="B244" s="15" t="s">
        <v>841</v>
      </c>
      <c r="C244" s="2" t="s">
        <v>671</v>
      </c>
      <c r="D244" s="2">
        <v>35</v>
      </c>
      <c r="E244" s="2">
        <v>3000</v>
      </c>
      <c r="F244" s="2">
        <v>250</v>
      </c>
      <c r="G244" s="2">
        <v>3000</v>
      </c>
      <c r="I244" s="2" t="s">
        <v>672</v>
      </c>
    </row>
    <row r="245" spans="1:9" ht="30" hidden="1" customHeight="1">
      <c r="A245" s="2" t="s">
        <v>673</v>
      </c>
      <c r="B245" s="2" t="s">
        <v>674</v>
      </c>
      <c r="C245" s="2" t="s">
        <v>563</v>
      </c>
      <c r="D245" s="2">
        <v>56</v>
      </c>
      <c r="E245" s="2">
        <v>5300</v>
      </c>
      <c r="F245" s="2">
        <v>355</v>
      </c>
      <c r="G245" s="2">
        <v>0</v>
      </c>
      <c r="H245" s="2">
        <v>0</v>
      </c>
      <c r="I245" s="2" t="s">
        <v>675</v>
      </c>
    </row>
    <row r="246" spans="1:9" ht="30" hidden="1" customHeight="1">
      <c r="A246" s="13" t="s">
        <v>676</v>
      </c>
      <c r="B246" s="2" t="s">
        <v>677</v>
      </c>
      <c r="C246" s="2" t="s">
        <v>678</v>
      </c>
      <c r="D246" s="2">
        <v>43</v>
      </c>
      <c r="E246" s="2">
        <v>5300</v>
      </c>
      <c r="F246" s="2">
        <v>450</v>
      </c>
      <c r="G246" s="2">
        <v>0</v>
      </c>
    </row>
    <row r="247" spans="1:9" ht="30" hidden="1" customHeight="1">
      <c r="A247" s="2" t="s">
        <v>679</v>
      </c>
      <c r="B247" s="2" t="s">
        <v>680</v>
      </c>
      <c r="C247" s="2" t="s">
        <v>681</v>
      </c>
      <c r="D247" s="2">
        <v>23</v>
      </c>
      <c r="E247" s="2">
        <v>2000</v>
      </c>
      <c r="F247" s="2">
        <v>160</v>
      </c>
      <c r="G247" s="2">
        <v>1500</v>
      </c>
    </row>
    <row r="248" spans="1:9" ht="30" hidden="1" customHeight="1">
      <c r="A248" s="2" t="s">
        <v>682</v>
      </c>
      <c r="B248" s="2" t="s">
        <v>683</v>
      </c>
      <c r="C248" s="2" t="s">
        <v>684</v>
      </c>
      <c r="D248" s="2">
        <v>40</v>
      </c>
      <c r="E248" s="2">
        <v>5000</v>
      </c>
      <c r="F248" s="2">
        <v>300</v>
      </c>
      <c r="G248" s="2">
        <v>0</v>
      </c>
      <c r="I248" s="2" t="s">
        <v>685</v>
      </c>
    </row>
    <row r="249" spans="1:9" ht="30" hidden="1" customHeight="1">
      <c r="A249" s="2" t="s">
        <v>686</v>
      </c>
      <c r="B249" s="2" t="s">
        <v>687</v>
      </c>
      <c r="C249" s="2" t="s">
        <v>688</v>
      </c>
      <c r="D249" s="2">
        <v>13</v>
      </c>
      <c r="E249" s="2">
        <v>15000</v>
      </c>
      <c r="F249" s="2">
        <v>950</v>
      </c>
      <c r="G249" s="2">
        <v>0</v>
      </c>
      <c r="I249" s="2" t="s">
        <v>689</v>
      </c>
    </row>
    <row r="250" spans="1:9" ht="30" hidden="1" customHeight="1">
      <c r="A250" s="2" t="s">
        <v>690</v>
      </c>
      <c r="B250" s="2" t="s">
        <v>691</v>
      </c>
      <c r="C250" s="2" t="s">
        <v>110</v>
      </c>
      <c r="D250" s="2" t="s">
        <v>692</v>
      </c>
      <c r="E250" s="2">
        <v>11000</v>
      </c>
      <c r="F250" s="2">
        <v>900</v>
      </c>
      <c r="G250" s="2">
        <v>0</v>
      </c>
      <c r="I250" s="2" t="s">
        <v>693</v>
      </c>
    </row>
    <row r="251" spans="1:9" ht="30" hidden="1" customHeight="1">
      <c r="A251" s="2" t="s">
        <v>694</v>
      </c>
      <c r="B251" s="2" t="s">
        <v>695</v>
      </c>
      <c r="C251" s="2" t="s">
        <v>59</v>
      </c>
      <c r="D251" s="2">
        <v>7</v>
      </c>
      <c r="E251" s="2">
        <v>10000</v>
      </c>
      <c r="F251" s="2">
        <v>500</v>
      </c>
      <c r="G251" s="2">
        <v>0</v>
      </c>
    </row>
    <row r="252" spans="1:9" ht="30" hidden="1" customHeight="1">
      <c r="A252" s="12" t="s">
        <v>696</v>
      </c>
      <c r="B252" s="2" t="s">
        <v>697</v>
      </c>
      <c r="C252" s="2" t="s">
        <v>698</v>
      </c>
      <c r="D252" s="2">
        <v>33</v>
      </c>
      <c r="E252" s="2">
        <v>8000</v>
      </c>
      <c r="F252" s="2">
        <v>700</v>
      </c>
      <c r="G252" s="2">
        <v>10000</v>
      </c>
      <c r="H252" s="2">
        <v>120</v>
      </c>
    </row>
    <row r="253" spans="1:9" ht="30" hidden="1" customHeight="1">
      <c r="A253" s="2" t="s">
        <v>699</v>
      </c>
      <c r="B253" s="2" t="s">
        <v>700</v>
      </c>
      <c r="C253" s="2" t="s">
        <v>701</v>
      </c>
      <c r="D253" s="2">
        <v>27</v>
      </c>
      <c r="E253" s="2">
        <v>12000</v>
      </c>
      <c r="F253" s="2">
        <v>920</v>
      </c>
      <c r="G253" s="2">
        <v>20000</v>
      </c>
      <c r="H253" s="2">
        <v>80</v>
      </c>
      <c r="I253" s="2" t="s">
        <v>702</v>
      </c>
    </row>
    <row r="254" spans="1:9" ht="30" hidden="1" customHeight="1">
      <c r="A254" s="2" t="s">
        <v>703</v>
      </c>
      <c r="B254" s="2" t="s">
        <v>704</v>
      </c>
      <c r="C254" s="2" t="s">
        <v>705</v>
      </c>
      <c r="D254" s="2">
        <v>28</v>
      </c>
      <c r="E254" s="2">
        <v>10000</v>
      </c>
      <c r="F254" s="2">
        <v>770</v>
      </c>
      <c r="G254" s="2">
        <v>30000</v>
      </c>
      <c r="H254" s="2">
        <v>37</v>
      </c>
    </row>
    <row r="255" spans="1:9" ht="30" hidden="1" customHeight="1">
      <c r="A255" s="2" t="s">
        <v>706</v>
      </c>
      <c r="B255" s="2" t="s">
        <v>707</v>
      </c>
      <c r="C255" s="2" t="s">
        <v>708</v>
      </c>
      <c r="D255" s="2">
        <v>37</v>
      </c>
      <c r="E255" s="2">
        <v>12000</v>
      </c>
      <c r="F255" s="2">
        <v>790</v>
      </c>
      <c r="G255" s="2">
        <v>50000</v>
      </c>
      <c r="H255" s="2">
        <v>60</v>
      </c>
    </row>
    <row r="256" spans="1:9" ht="30" hidden="1" customHeight="1">
      <c r="A256" s="2" t="s">
        <v>709</v>
      </c>
      <c r="B256" s="2" t="s">
        <v>710</v>
      </c>
      <c r="C256" s="2" t="s">
        <v>59</v>
      </c>
      <c r="D256" s="2">
        <v>22</v>
      </c>
      <c r="E256" s="2">
        <v>6000</v>
      </c>
      <c r="F256" s="2">
        <v>500</v>
      </c>
      <c r="G256" s="2">
        <v>0</v>
      </c>
      <c r="H256" s="2">
        <v>50</v>
      </c>
      <c r="I256" s="2" t="s">
        <v>711</v>
      </c>
    </row>
    <row r="257" spans="1:9" ht="30" hidden="1" customHeight="1">
      <c r="A257" s="2" t="s">
        <v>712</v>
      </c>
      <c r="B257" s="2" t="s">
        <v>713</v>
      </c>
      <c r="C257" s="2" t="s">
        <v>714</v>
      </c>
      <c r="D257" s="2">
        <v>22</v>
      </c>
      <c r="E257" s="2">
        <v>5000</v>
      </c>
      <c r="F257" s="2">
        <v>410</v>
      </c>
      <c r="G257" s="2">
        <v>15000</v>
      </c>
      <c r="H257" s="2">
        <v>10</v>
      </c>
    </row>
    <row r="258" spans="1:9" ht="30" hidden="1" customHeight="1">
      <c r="A258" s="2" t="s">
        <v>715</v>
      </c>
      <c r="B258" s="2" t="s">
        <v>716</v>
      </c>
      <c r="C258" s="2" t="s">
        <v>59</v>
      </c>
      <c r="D258" s="2">
        <v>53.5</v>
      </c>
      <c r="E258" s="2">
        <v>5000</v>
      </c>
      <c r="F258" s="2">
        <v>600</v>
      </c>
      <c r="G258" s="2">
        <v>0</v>
      </c>
      <c r="H258" s="2">
        <v>0</v>
      </c>
      <c r="I258" s="2" t="s">
        <v>717</v>
      </c>
    </row>
    <row r="259" spans="1:9" ht="30" hidden="1" customHeight="1">
      <c r="A259" s="2" t="s">
        <v>718</v>
      </c>
      <c r="B259" s="2" t="s">
        <v>719</v>
      </c>
      <c r="C259" s="2" t="s">
        <v>720</v>
      </c>
      <c r="D259" s="2">
        <v>37</v>
      </c>
      <c r="E259" s="2">
        <v>4000</v>
      </c>
      <c r="F259" s="2">
        <v>350</v>
      </c>
      <c r="G259" s="2">
        <v>8000</v>
      </c>
      <c r="H259" s="2">
        <v>10</v>
      </c>
      <c r="I259" s="2" t="s">
        <v>721</v>
      </c>
    </row>
    <row r="260" spans="1:9" ht="30" hidden="1" customHeight="1">
      <c r="A260" s="2" t="s">
        <v>722</v>
      </c>
      <c r="B260" s="2" t="s">
        <v>723</v>
      </c>
      <c r="C260" s="2" t="s">
        <v>724</v>
      </c>
      <c r="D260" s="2">
        <v>40</v>
      </c>
      <c r="E260" s="2">
        <v>7000</v>
      </c>
      <c r="F260" s="2">
        <v>480</v>
      </c>
      <c r="G260" s="2">
        <v>11000</v>
      </c>
      <c r="H260" s="2">
        <v>10</v>
      </c>
    </row>
    <row r="261" spans="1:9" ht="30" hidden="1" customHeight="1">
      <c r="A261" s="2" t="s">
        <v>725</v>
      </c>
      <c r="B261" s="2" t="s">
        <v>726</v>
      </c>
      <c r="C261" s="2" t="s">
        <v>727</v>
      </c>
      <c r="D261" s="2">
        <v>24.8</v>
      </c>
      <c r="E261" s="2">
        <v>7000</v>
      </c>
      <c r="F261" s="2">
        <v>600</v>
      </c>
      <c r="G261" s="2">
        <v>9000</v>
      </c>
      <c r="H261" s="2">
        <v>70</v>
      </c>
    </row>
    <row r="262" spans="1:9" ht="30" hidden="1" customHeight="1">
      <c r="A262" s="2" t="s">
        <v>728</v>
      </c>
      <c r="B262" s="2" t="s">
        <v>729</v>
      </c>
      <c r="C262" s="2" t="s">
        <v>730</v>
      </c>
      <c r="D262" s="2">
        <v>25</v>
      </c>
      <c r="E262" s="2">
        <v>7000</v>
      </c>
      <c r="F262" s="2">
        <v>400</v>
      </c>
      <c r="G262" s="2">
        <v>12000</v>
      </c>
      <c r="I262" s="2" t="s">
        <v>731</v>
      </c>
    </row>
    <row r="263" spans="1:9" ht="30" hidden="1" customHeight="1">
      <c r="A263" s="2" t="s">
        <v>732</v>
      </c>
      <c r="B263" s="2" t="s">
        <v>733</v>
      </c>
      <c r="C263" s="2" t="s">
        <v>734</v>
      </c>
      <c r="D263" s="2">
        <v>20</v>
      </c>
      <c r="E263" s="2">
        <v>10000</v>
      </c>
      <c r="F263" s="2">
        <v>500</v>
      </c>
      <c r="G263" s="2">
        <v>10000</v>
      </c>
      <c r="I263" s="2" t="s">
        <v>735</v>
      </c>
    </row>
    <row r="264" spans="1:9" ht="30" hidden="1" customHeight="1">
      <c r="A264" s="2" t="s">
        <v>736</v>
      </c>
      <c r="B264" s="2" t="s">
        <v>737</v>
      </c>
      <c r="C264" s="2" t="s">
        <v>584</v>
      </c>
      <c r="D264" s="2">
        <v>34</v>
      </c>
      <c r="E264" s="2">
        <v>5000</v>
      </c>
      <c r="F264" s="2">
        <v>400</v>
      </c>
      <c r="G264" s="2">
        <v>0</v>
      </c>
    </row>
    <row r="265" spans="1:9" ht="30" hidden="1" customHeight="1">
      <c r="A265" s="2" t="s">
        <v>738</v>
      </c>
      <c r="B265" s="2" t="s">
        <v>739</v>
      </c>
      <c r="C265" s="2" t="s">
        <v>563</v>
      </c>
      <c r="D265" s="2">
        <v>12</v>
      </c>
      <c r="E265" s="2">
        <v>10000</v>
      </c>
      <c r="F265" s="2">
        <v>500</v>
      </c>
      <c r="G265" s="2">
        <v>0</v>
      </c>
      <c r="I265" s="2" t="s">
        <v>740</v>
      </c>
    </row>
    <row r="266" spans="1:9" ht="30" hidden="1" customHeight="1">
      <c r="A266" s="2" t="s">
        <v>741</v>
      </c>
      <c r="B266" s="2" t="s">
        <v>742</v>
      </c>
      <c r="C266" s="2" t="s">
        <v>59</v>
      </c>
      <c r="D266" s="2">
        <v>21</v>
      </c>
      <c r="E266" s="2">
        <v>5000</v>
      </c>
      <c r="F266" s="2">
        <v>320</v>
      </c>
      <c r="G266" s="2">
        <v>0</v>
      </c>
      <c r="H266" s="2">
        <v>25</v>
      </c>
      <c r="I266" s="2" t="s">
        <v>743</v>
      </c>
    </row>
    <row r="267" spans="1:9" ht="30" hidden="1" customHeight="1">
      <c r="A267" s="2" t="s">
        <v>744</v>
      </c>
      <c r="B267" s="2" t="s">
        <v>745</v>
      </c>
      <c r="C267" s="2" t="s">
        <v>341</v>
      </c>
      <c r="D267" s="2">
        <v>42</v>
      </c>
      <c r="E267" s="2">
        <v>7000</v>
      </c>
      <c r="F267" s="2">
        <v>295</v>
      </c>
      <c r="G267" s="2">
        <v>20000</v>
      </c>
      <c r="I267" s="2" t="s">
        <v>746</v>
      </c>
    </row>
    <row r="268" spans="1:9" ht="30" hidden="1" customHeight="1">
      <c r="A268" s="2" t="s">
        <v>747</v>
      </c>
      <c r="B268" s="2" t="s">
        <v>748</v>
      </c>
      <c r="C268" s="2" t="s">
        <v>749</v>
      </c>
      <c r="D268" s="2">
        <v>31</v>
      </c>
      <c r="E268" s="2">
        <v>10000</v>
      </c>
      <c r="F268" s="2">
        <v>600</v>
      </c>
      <c r="G268" s="2">
        <v>11000</v>
      </c>
      <c r="H268" s="2">
        <v>20</v>
      </c>
    </row>
    <row r="269" spans="1:9" ht="30" hidden="1" customHeight="1">
      <c r="A269" s="2" t="s">
        <v>750</v>
      </c>
      <c r="B269" s="2" t="s">
        <v>751</v>
      </c>
      <c r="C269" s="2" t="s">
        <v>558</v>
      </c>
      <c r="D269" s="2">
        <v>60</v>
      </c>
      <c r="E269" s="2">
        <v>10000</v>
      </c>
      <c r="F269" s="2">
        <v>650</v>
      </c>
      <c r="G269" s="2">
        <v>9000</v>
      </c>
    </row>
    <row r="270" spans="1:9" ht="30" hidden="1" customHeight="1">
      <c r="A270" s="2" t="s">
        <v>752</v>
      </c>
      <c r="B270" s="2" t="s">
        <v>753</v>
      </c>
      <c r="C270" s="2" t="s">
        <v>754</v>
      </c>
      <c r="D270" s="2">
        <v>30</v>
      </c>
      <c r="E270" s="2">
        <v>10000</v>
      </c>
      <c r="F270" s="2">
        <v>650</v>
      </c>
      <c r="G270" s="2">
        <v>12000</v>
      </c>
    </row>
    <row r="271" spans="1:9" ht="30" hidden="1" customHeight="1">
      <c r="A271" s="2" t="s">
        <v>755</v>
      </c>
      <c r="B271" s="2" t="s">
        <v>756</v>
      </c>
      <c r="C271" s="2" t="s">
        <v>757</v>
      </c>
      <c r="D271" s="2">
        <v>50</v>
      </c>
      <c r="E271" s="2">
        <v>10000</v>
      </c>
      <c r="F271" s="2">
        <v>600</v>
      </c>
      <c r="G271" s="2">
        <v>7000</v>
      </c>
      <c r="I271" s="2" t="s">
        <v>758</v>
      </c>
    </row>
    <row r="272" spans="1:9" ht="30" hidden="1" customHeight="1">
      <c r="A272" s="2" t="s">
        <v>759</v>
      </c>
      <c r="B272" s="2" t="s">
        <v>760</v>
      </c>
      <c r="C272" s="2" t="s">
        <v>761</v>
      </c>
      <c r="D272" s="2">
        <v>25</v>
      </c>
      <c r="E272" s="2">
        <v>2000</v>
      </c>
      <c r="F272" s="2">
        <v>190</v>
      </c>
      <c r="G272" s="2">
        <v>6500</v>
      </c>
    </row>
    <row r="273" spans="1:9" ht="30" hidden="1" customHeight="1">
      <c r="A273" s="2" t="s">
        <v>762</v>
      </c>
      <c r="B273" s="2" t="s">
        <v>763</v>
      </c>
      <c r="C273" s="2" t="s">
        <v>764</v>
      </c>
      <c r="D273" s="2">
        <v>64</v>
      </c>
      <c r="E273" s="2">
        <v>10000</v>
      </c>
      <c r="F273" s="2">
        <v>600</v>
      </c>
      <c r="G273" s="2">
        <v>12000</v>
      </c>
    </row>
    <row r="274" spans="1:9" ht="30" hidden="1" customHeight="1">
      <c r="A274" s="2" t="s">
        <v>765</v>
      </c>
      <c r="B274" s="2" t="s">
        <v>766</v>
      </c>
      <c r="C274" s="2" t="s">
        <v>767</v>
      </c>
      <c r="D274" s="2">
        <v>30</v>
      </c>
      <c r="E274" s="2">
        <v>3000</v>
      </c>
      <c r="F274" s="2">
        <v>240</v>
      </c>
      <c r="G274" s="2">
        <v>9000</v>
      </c>
    </row>
    <row r="275" spans="1:9" ht="30" hidden="1" customHeight="1">
      <c r="A275" s="2" t="s">
        <v>768</v>
      </c>
      <c r="B275" s="2" t="s">
        <v>769</v>
      </c>
      <c r="C275" s="2" t="s">
        <v>770</v>
      </c>
      <c r="D275" s="2">
        <v>25</v>
      </c>
      <c r="E275" s="2">
        <v>15000</v>
      </c>
      <c r="F275" s="2">
        <v>600</v>
      </c>
      <c r="G275" s="2">
        <v>5000</v>
      </c>
      <c r="H275" s="2">
        <v>30</v>
      </c>
    </row>
    <row r="276" spans="1:9" ht="30" hidden="1" customHeight="1">
      <c r="A276" s="2" t="s">
        <v>771</v>
      </c>
      <c r="B276" s="2" t="s">
        <v>772</v>
      </c>
      <c r="C276" s="2" t="s">
        <v>773</v>
      </c>
      <c r="D276" s="2">
        <v>48</v>
      </c>
      <c r="E276" s="2">
        <v>20000</v>
      </c>
      <c r="F276" s="2">
        <v>1215</v>
      </c>
      <c r="G276" s="2">
        <v>10000</v>
      </c>
    </row>
    <row r="277" spans="1:9" ht="30" hidden="1" customHeight="1">
      <c r="A277" s="2" t="s">
        <v>774</v>
      </c>
      <c r="B277" s="2" t="s">
        <v>775</v>
      </c>
      <c r="C277" s="2" t="s">
        <v>776</v>
      </c>
      <c r="D277" s="2">
        <v>60</v>
      </c>
      <c r="E277" s="2">
        <v>6000</v>
      </c>
      <c r="F277" s="2">
        <v>350</v>
      </c>
      <c r="G277" s="2">
        <v>10000</v>
      </c>
      <c r="I277" s="2" t="s">
        <v>777</v>
      </c>
    </row>
    <row r="278" spans="1:9" ht="30" hidden="1" customHeight="1">
      <c r="A278" s="2" t="s">
        <v>778</v>
      </c>
      <c r="B278" s="2" t="s">
        <v>779</v>
      </c>
      <c r="C278" s="2" t="s">
        <v>780</v>
      </c>
      <c r="D278" s="2">
        <v>25</v>
      </c>
      <c r="E278" s="2">
        <v>3000</v>
      </c>
      <c r="F278" s="2">
        <v>200</v>
      </c>
      <c r="G278" s="2">
        <v>4000</v>
      </c>
    </row>
    <row r="279" spans="1:9" ht="30" hidden="1" customHeight="1">
      <c r="A279" s="2" t="s">
        <v>781</v>
      </c>
      <c r="B279" s="2" t="s">
        <v>782</v>
      </c>
      <c r="C279" s="2" t="s">
        <v>783</v>
      </c>
      <c r="D279" s="2">
        <v>31</v>
      </c>
      <c r="E279" s="2">
        <v>4000</v>
      </c>
      <c r="F279" s="2">
        <v>300</v>
      </c>
      <c r="G279" s="2">
        <v>13000</v>
      </c>
      <c r="H279" s="2">
        <v>5</v>
      </c>
    </row>
    <row r="280" spans="1:9" ht="30" hidden="1" customHeight="1">
      <c r="A280" s="2" t="s">
        <v>784</v>
      </c>
      <c r="B280" s="2" t="s">
        <v>785</v>
      </c>
      <c r="C280" s="2" t="s">
        <v>786</v>
      </c>
      <c r="D280" s="2">
        <v>30</v>
      </c>
      <c r="E280" s="2">
        <v>5000</v>
      </c>
      <c r="F280" s="2">
        <v>370</v>
      </c>
      <c r="G280" s="2">
        <v>10000</v>
      </c>
      <c r="H280" s="2">
        <v>20</v>
      </c>
    </row>
    <row r="281" spans="1:9" ht="30" hidden="1" customHeight="1">
      <c r="A281" s="2" t="s">
        <v>787</v>
      </c>
      <c r="B281" s="2" t="s">
        <v>788</v>
      </c>
      <c r="C281" s="2" t="s">
        <v>789</v>
      </c>
      <c r="D281" s="2">
        <v>30</v>
      </c>
      <c r="E281" s="2">
        <v>6500</v>
      </c>
      <c r="F281" s="2">
        <v>350</v>
      </c>
      <c r="G281" s="2">
        <v>0</v>
      </c>
    </row>
    <row r="282" spans="1:9" ht="30" hidden="1" customHeight="1">
      <c r="A282" s="2" t="s">
        <v>790</v>
      </c>
      <c r="B282" s="2" t="s">
        <v>791</v>
      </c>
      <c r="C282" s="2" t="s">
        <v>59</v>
      </c>
      <c r="D282" s="2">
        <v>56</v>
      </c>
      <c r="E282" s="2">
        <v>10000</v>
      </c>
      <c r="F282" s="2">
        <v>560</v>
      </c>
      <c r="G282" s="2">
        <v>0</v>
      </c>
      <c r="H282" s="2" t="s">
        <v>792</v>
      </c>
      <c r="I282" s="2" t="s">
        <v>793</v>
      </c>
    </row>
    <row r="283" spans="1:9" ht="30" hidden="1" customHeight="1">
      <c r="A283" s="2" t="s">
        <v>794</v>
      </c>
      <c r="B283" s="2" t="s">
        <v>795</v>
      </c>
      <c r="C283" s="2" t="s">
        <v>796</v>
      </c>
      <c r="D283" s="2">
        <v>24.8</v>
      </c>
      <c r="E283" s="2">
        <v>15000</v>
      </c>
      <c r="F283" s="2">
        <v>703</v>
      </c>
      <c r="G283" s="2">
        <v>0</v>
      </c>
    </row>
    <row r="284" spans="1:9" ht="30" hidden="1" customHeight="1">
      <c r="A284" s="2" t="s">
        <v>797</v>
      </c>
      <c r="B284" s="2" t="s">
        <v>798</v>
      </c>
      <c r="C284" s="2" t="s">
        <v>799</v>
      </c>
      <c r="D284" s="2">
        <v>85</v>
      </c>
      <c r="E284" s="2">
        <v>15000</v>
      </c>
      <c r="F284" s="2">
        <v>900</v>
      </c>
      <c r="G284" s="2">
        <v>30000</v>
      </c>
    </row>
    <row r="285" spans="1:9" ht="30" hidden="1" customHeight="1">
      <c r="A285" s="2" t="s">
        <v>800</v>
      </c>
      <c r="B285" s="2" t="s">
        <v>801</v>
      </c>
      <c r="C285" s="2" t="s">
        <v>802</v>
      </c>
      <c r="D285" s="2">
        <v>56</v>
      </c>
      <c r="E285" s="2">
        <v>15000</v>
      </c>
      <c r="F285" s="2">
        <v>689</v>
      </c>
      <c r="G285" s="2">
        <v>15000</v>
      </c>
    </row>
    <row r="286" spans="1:9" ht="30" hidden="1" customHeight="1">
      <c r="A286" s="2" t="s">
        <v>803</v>
      </c>
      <c r="B286" s="2" t="s">
        <v>804</v>
      </c>
      <c r="C286" s="2" t="s">
        <v>805</v>
      </c>
      <c r="D286" s="2">
        <v>20</v>
      </c>
      <c r="E286" s="2">
        <v>6000</v>
      </c>
      <c r="F286" s="2">
        <v>350</v>
      </c>
      <c r="G286" s="2">
        <v>6000</v>
      </c>
      <c r="I286" s="2" t="s">
        <v>806</v>
      </c>
    </row>
    <row r="287" spans="1:9" ht="30" hidden="1" customHeight="1">
      <c r="A287" s="2" t="s">
        <v>807</v>
      </c>
      <c r="B287" s="2" t="s">
        <v>808</v>
      </c>
      <c r="C287" s="2" t="s">
        <v>809</v>
      </c>
      <c r="D287" s="2">
        <v>24</v>
      </c>
      <c r="E287" s="2">
        <v>6000</v>
      </c>
      <c r="F287" s="2">
        <v>325</v>
      </c>
      <c r="G287" s="2">
        <v>6000</v>
      </c>
      <c r="I287" s="2" t="s">
        <v>810</v>
      </c>
    </row>
    <row r="288" spans="1:9" ht="30" hidden="1" customHeight="1">
      <c r="A288" s="2" t="s">
        <v>811</v>
      </c>
      <c r="B288" s="2" t="s">
        <v>812</v>
      </c>
      <c r="C288" s="2" t="s">
        <v>59</v>
      </c>
      <c r="D288" s="2">
        <v>50</v>
      </c>
      <c r="E288" s="2">
        <v>10000</v>
      </c>
      <c r="F288" s="2">
        <v>570</v>
      </c>
      <c r="G288" s="2">
        <v>7000</v>
      </c>
      <c r="H288" s="2">
        <v>50</v>
      </c>
      <c r="I288" s="2" t="s">
        <v>813</v>
      </c>
    </row>
    <row r="289" spans="1:9" ht="30" hidden="1" customHeight="1">
      <c r="A289" s="2" t="s">
        <v>814</v>
      </c>
      <c r="B289" s="2" t="s">
        <v>815</v>
      </c>
      <c r="C289" s="2" t="s">
        <v>816</v>
      </c>
      <c r="D289" s="2">
        <v>25</v>
      </c>
      <c r="E289" s="2">
        <v>6000</v>
      </c>
      <c r="F289" s="2">
        <v>530</v>
      </c>
      <c r="G289" s="2">
        <v>20000</v>
      </c>
    </row>
    <row r="290" spans="1:9" ht="30" hidden="1" customHeight="1">
      <c r="A290" s="2" t="s">
        <v>817</v>
      </c>
      <c r="B290" s="2" t="s">
        <v>818</v>
      </c>
      <c r="C290" s="2" t="s">
        <v>819</v>
      </c>
      <c r="D290" s="2">
        <v>14</v>
      </c>
      <c r="E290" s="2">
        <v>4000</v>
      </c>
      <c r="F290" s="2">
        <v>190</v>
      </c>
      <c r="G290" s="2">
        <v>13000</v>
      </c>
    </row>
    <row r="291" spans="1:9" ht="30" hidden="1" customHeight="1">
      <c r="A291" s="2" t="s">
        <v>820</v>
      </c>
      <c r="B291" s="2" t="s">
        <v>821</v>
      </c>
      <c r="C291" s="2" t="s">
        <v>822</v>
      </c>
      <c r="D291" s="2">
        <v>50</v>
      </c>
      <c r="E291" s="2">
        <v>9000</v>
      </c>
      <c r="F291" s="2">
        <v>550</v>
      </c>
      <c r="G291" s="2">
        <v>30000</v>
      </c>
    </row>
    <row r="292" spans="1:9" ht="30" hidden="1" customHeight="1">
      <c r="A292" s="2" t="s">
        <v>823</v>
      </c>
      <c r="B292" s="2" t="s">
        <v>824</v>
      </c>
      <c r="C292" s="2" t="s">
        <v>825</v>
      </c>
      <c r="D292" s="2">
        <v>22</v>
      </c>
      <c r="E292" s="2">
        <v>3000</v>
      </c>
      <c r="F292" s="2">
        <v>250</v>
      </c>
      <c r="G292" s="2">
        <v>0</v>
      </c>
      <c r="H292" s="2">
        <v>8</v>
      </c>
      <c r="I292" s="2" t="s">
        <v>826</v>
      </c>
    </row>
    <row r="293" spans="1:9" ht="30" hidden="1" customHeight="1">
      <c r="A293" s="2" t="s">
        <v>823</v>
      </c>
      <c r="B293" s="2" t="s">
        <v>824</v>
      </c>
      <c r="C293" s="2" t="s">
        <v>825</v>
      </c>
      <c r="D293" s="2">
        <v>21</v>
      </c>
      <c r="E293" s="2">
        <v>3000</v>
      </c>
      <c r="F293" s="2">
        <v>250</v>
      </c>
      <c r="G293" s="2">
        <v>0</v>
      </c>
      <c r="H293" s="2">
        <v>8</v>
      </c>
      <c r="I293" s="2" t="s">
        <v>827</v>
      </c>
    </row>
    <row r="294" spans="1:9" ht="30" hidden="1" customHeight="1">
      <c r="A294" s="2" t="s">
        <v>828</v>
      </c>
      <c r="B294" s="2" t="s">
        <v>829</v>
      </c>
      <c r="C294" s="2" t="s">
        <v>830</v>
      </c>
      <c r="D294" s="2">
        <v>12</v>
      </c>
      <c r="E294" s="2">
        <v>2500</v>
      </c>
      <c r="F294" s="2">
        <v>160</v>
      </c>
      <c r="G294" s="2">
        <v>1000</v>
      </c>
      <c r="I294" s="2" t="s">
        <v>831</v>
      </c>
    </row>
    <row r="295" spans="1:9" ht="30" hidden="1" customHeight="1">
      <c r="A295" s="2" t="s">
        <v>832</v>
      </c>
      <c r="B295" s="2" t="s">
        <v>833</v>
      </c>
      <c r="C295" s="2" t="s">
        <v>59</v>
      </c>
      <c r="D295" s="2">
        <v>16</v>
      </c>
      <c r="E295" s="2">
        <v>10000</v>
      </c>
      <c r="F295" s="2">
        <v>400</v>
      </c>
      <c r="G295" s="2">
        <v>0</v>
      </c>
      <c r="H295" s="2">
        <v>8</v>
      </c>
      <c r="I295" s="2" t="s">
        <v>834</v>
      </c>
    </row>
    <row r="296" spans="1:9" ht="30" hidden="1" customHeight="1">
      <c r="A296" s="2" t="s">
        <v>835</v>
      </c>
      <c r="B296" s="15" t="s">
        <v>846</v>
      </c>
      <c r="C296" s="2" t="s">
        <v>563</v>
      </c>
      <c r="D296" s="2">
        <v>35</v>
      </c>
      <c r="E296" s="2">
        <v>5000</v>
      </c>
      <c r="F296" s="2">
        <v>300</v>
      </c>
      <c r="G296" s="2">
        <v>0</v>
      </c>
      <c r="I296" s="2" t="s">
        <v>836</v>
      </c>
    </row>
    <row r="297" spans="1:9" ht="30" hidden="1" customHeight="1">
      <c r="A297" s="2" t="s">
        <v>837</v>
      </c>
      <c r="B297" s="15" t="s">
        <v>845</v>
      </c>
      <c r="C297" s="2" t="s">
        <v>59</v>
      </c>
      <c r="D297" s="2">
        <v>38</v>
      </c>
      <c r="E297" s="2">
        <v>4000</v>
      </c>
      <c r="F297" s="2">
        <v>380</v>
      </c>
      <c r="G297" s="2">
        <v>0</v>
      </c>
      <c r="H297" s="2">
        <v>6</v>
      </c>
      <c r="I297" s="2" t="s">
        <v>838</v>
      </c>
    </row>
    <row r="300" spans="1:9" ht="30" hidden="1" customHeight="1">
      <c r="A300" s="2" t="s">
        <v>0</v>
      </c>
      <c r="B300" s="2" t="s">
        <v>847</v>
      </c>
      <c r="C300" s="2" t="s">
        <v>848</v>
      </c>
      <c r="D300" s="2" t="s">
        <v>290</v>
      </c>
      <c r="E300" s="2" t="s">
        <v>4</v>
      </c>
      <c r="F300" s="2" t="s">
        <v>5</v>
      </c>
      <c r="G300" s="2" t="s">
        <v>6</v>
      </c>
      <c r="H300" s="2" t="s">
        <v>7</v>
      </c>
      <c r="I300" s="2" t="s">
        <v>8</v>
      </c>
    </row>
    <row r="301" spans="1:9" ht="30" hidden="1" customHeight="1">
      <c r="A301" s="2" t="s">
        <v>849</v>
      </c>
      <c r="B301" s="15" t="s">
        <v>913</v>
      </c>
      <c r="C301" s="2" t="s">
        <v>850</v>
      </c>
      <c r="D301" s="2">
        <v>35</v>
      </c>
      <c r="E301" s="2">
        <v>10000</v>
      </c>
      <c r="F301" s="2">
        <v>430</v>
      </c>
      <c r="G301" s="2">
        <v>0</v>
      </c>
      <c r="H301" s="2" t="s">
        <v>210</v>
      </c>
      <c r="I301" s="2" t="s">
        <v>851</v>
      </c>
    </row>
    <row r="302" spans="1:9" ht="30" hidden="1" customHeight="1">
      <c r="A302" s="2" t="s">
        <v>852</v>
      </c>
      <c r="B302" s="15" t="s">
        <v>914</v>
      </c>
      <c r="C302" s="2" t="s">
        <v>563</v>
      </c>
      <c r="D302" s="2">
        <v>32</v>
      </c>
      <c r="E302" s="2">
        <v>5000</v>
      </c>
      <c r="F302" s="2">
        <v>250</v>
      </c>
      <c r="G302" s="2">
        <v>0</v>
      </c>
      <c r="H302" s="2" t="s">
        <v>210</v>
      </c>
      <c r="I302" s="2" t="s">
        <v>210</v>
      </c>
    </row>
    <row r="303" spans="1:9" ht="30" hidden="1" customHeight="1">
      <c r="A303" s="2" t="s">
        <v>853</v>
      </c>
      <c r="B303" s="15" t="s">
        <v>915</v>
      </c>
      <c r="C303" s="2" t="s">
        <v>854</v>
      </c>
      <c r="D303" s="2">
        <v>20</v>
      </c>
      <c r="E303" s="2">
        <v>5000</v>
      </c>
      <c r="F303" s="2">
        <v>120</v>
      </c>
      <c r="G303" s="2">
        <v>0</v>
      </c>
      <c r="H303" s="2" t="s">
        <v>210</v>
      </c>
      <c r="I303" s="2" t="s">
        <v>855</v>
      </c>
    </row>
    <row r="304" spans="1:9" ht="30" hidden="1" customHeight="1">
      <c r="A304" s="2" t="s">
        <v>856</v>
      </c>
      <c r="B304" s="2" t="s">
        <v>857</v>
      </c>
      <c r="C304" s="2" t="s">
        <v>858</v>
      </c>
      <c r="D304" s="2">
        <v>52</v>
      </c>
      <c r="E304" s="2">
        <v>5000</v>
      </c>
      <c r="F304" s="2">
        <v>260</v>
      </c>
      <c r="G304" s="2">
        <v>0</v>
      </c>
      <c r="H304" s="2">
        <v>60</v>
      </c>
      <c r="I304" s="2" t="s">
        <v>859</v>
      </c>
    </row>
    <row r="305" spans="1:9" ht="30" hidden="1" customHeight="1">
      <c r="A305" s="2" t="s">
        <v>860</v>
      </c>
      <c r="B305" s="2" t="s">
        <v>861</v>
      </c>
      <c r="C305" s="2" t="s">
        <v>563</v>
      </c>
      <c r="D305" s="2">
        <v>47.6</v>
      </c>
      <c r="E305" s="2">
        <v>5000</v>
      </c>
      <c r="F305" s="2">
        <v>300</v>
      </c>
      <c r="G305" s="2">
        <v>0</v>
      </c>
      <c r="H305" s="2">
        <v>10</v>
      </c>
      <c r="I305" s="2" t="s">
        <v>862</v>
      </c>
    </row>
    <row r="306" spans="1:9" ht="30" hidden="1" customHeight="1">
      <c r="A306" s="2" t="s">
        <v>863</v>
      </c>
      <c r="B306" s="15" t="s">
        <v>916</v>
      </c>
      <c r="C306" s="2" t="s">
        <v>864</v>
      </c>
      <c r="D306" s="2">
        <v>21</v>
      </c>
      <c r="E306" s="2">
        <v>5000</v>
      </c>
      <c r="F306" s="2">
        <v>300</v>
      </c>
      <c r="G306" s="2">
        <v>3000</v>
      </c>
      <c r="H306" s="2" t="s">
        <v>210</v>
      </c>
      <c r="I306" s="2" t="s">
        <v>865</v>
      </c>
    </row>
    <row r="307" spans="1:9" ht="30" hidden="1" customHeight="1">
      <c r="A307" s="2" t="s">
        <v>866</v>
      </c>
      <c r="B307" s="2" t="s">
        <v>867</v>
      </c>
      <c r="C307" s="2" t="s">
        <v>868</v>
      </c>
      <c r="D307" s="2">
        <v>35</v>
      </c>
      <c r="E307" s="2">
        <v>4000</v>
      </c>
      <c r="F307" s="2">
        <v>220</v>
      </c>
      <c r="G307" s="2">
        <v>3000</v>
      </c>
      <c r="H307" s="2" t="s">
        <v>210</v>
      </c>
      <c r="I307" s="2" t="s">
        <v>210</v>
      </c>
    </row>
    <row r="308" spans="1:9" ht="30" hidden="1" customHeight="1">
      <c r="A308" s="2" t="s">
        <v>869</v>
      </c>
      <c r="B308" s="2" t="s">
        <v>870</v>
      </c>
      <c r="C308" s="2" t="s">
        <v>871</v>
      </c>
      <c r="D308" s="2">
        <v>13</v>
      </c>
      <c r="E308" s="2">
        <v>3000</v>
      </c>
      <c r="F308" s="2">
        <v>260</v>
      </c>
      <c r="G308" s="2">
        <v>3000</v>
      </c>
      <c r="H308" s="2" t="s">
        <v>210</v>
      </c>
      <c r="I308" s="2" t="s">
        <v>872</v>
      </c>
    </row>
    <row r="309" spans="1:9" ht="30" hidden="1" customHeight="1">
      <c r="A309" s="2" t="s">
        <v>873</v>
      </c>
      <c r="B309" s="2" t="s">
        <v>874</v>
      </c>
      <c r="C309" s="2" t="s">
        <v>875</v>
      </c>
      <c r="D309" s="2">
        <v>45</v>
      </c>
      <c r="E309" s="2">
        <v>10000</v>
      </c>
      <c r="F309" s="2">
        <v>800</v>
      </c>
      <c r="G309" s="2">
        <v>20000</v>
      </c>
      <c r="H309" s="2" t="s">
        <v>210</v>
      </c>
      <c r="I309" s="2" t="s">
        <v>210</v>
      </c>
    </row>
    <row r="310" spans="1:9" ht="30" hidden="1" customHeight="1">
      <c r="A310" s="2" t="s">
        <v>876</v>
      </c>
      <c r="B310" s="2" t="s">
        <v>877</v>
      </c>
      <c r="C310" s="2" t="s">
        <v>878</v>
      </c>
      <c r="D310" s="2">
        <v>35</v>
      </c>
      <c r="E310" s="2">
        <v>10000</v>
      </c>
      <c r="F310" s="2">
        <v>650</v>
      </c>
      <c r="G310" s="2">
        <v>8000</v>
      </c>
      <c r="H310" s="2" t="s">
        <v>210</v>
      </c>
      <c r="I310" s="2" t="s">
        <v>879</v>
      </c>
    </row>
    <row r="311" spans="1:9" ht="30" hidden="1" customHeight="1">
      <c r="A311" s="2" t="s">
        <v>617</v>
      </c>
      <c r="B311" s="2" t="s">
        <v>880</v>
      </c>
      <c r="C311" s="2" t="s">
        <v>773</v>
      </c>
      <c r="D311" s="2">
        <v>48</v>
      </c>
      <c r="E311" s="2">
        <v>20000</v>
      </c>
      <c r="F311" s="2">
        <v>1200</v>
      </c>
      <c r="G311" s="2">
        <v>6000</v>
      </c>
      <c r="H311" s="2" t="s">
        <v>210</v>
      </c>
      <c r="I311" s="2" t="s">
        <v>881</v>
      </c>
    </row>
    <row r="312" spans="1:9" ht="30" hidden="1" customHeight="1">
      <c r="A312" s="2" t="s">
        <v>882</v>
      </c>
      <c r="B312" s="2" t="s">
        <v>883</v>
      </c>
      <c r="C312" s="2" t="s">
        <v>884</v>
      </c>
      <c r="D312" s="2">
        <v>39</v>
      </c>
      <c r="E312" s="2">
        <v>5000</v>
      </c>
      <c r="F312" s="2">
        <v>200</v>
      </c>
      <c r="G312" s="2">
        <v>2500</v>
      </c>
      <c r="H312" s="2" t="s">
        <v>210</v>
      </c>
      <c r="I312" s="2" t="s">
        <v>885</v>
      </c>
    </row>
    <row r="313" spans="1:9" ht="30" hidden="1" customHeight="1">
      <c r="A313" s="2" t="s">
        <v>886</v>
      </c>
      <c r="B313" s="2" t="s">
        <v>887</v>
      </c>
      <c r="C313" s="2" t="s">
        <v>888</v>
      </c>
      <c r="D313" s="2">
        <v>57</v>
      </c>
      <c r="E313" s="2">
        <v>10000</v>
      </c>
      <c r="F313" s="2">
        <v>960</v>
      </c>
      <c r="G313" s="2">
        <v>30000</v>
      </c>
      <c r="H313" s="2" t="s">
        <v>210</v>
      </c>
      <c r="I313" s="2" t="s">
        <v>889</v>
      </c>
    </row>
    <row r="314" spans="1:9" ht="30" hidden="1" customHeight="1">
      <c r="A314" s="2" t="s">
        <v>890</v>
      </c>
      <c r="B314" s="15" t="s">
        <v>917</v>
      </c>
      <c r="C314" s="2" t="s">
        <v>891</v>
      </c>
      <c r="D314" s="2">
        <v>90</v>
      </c>
      <c r="E314" s="2">
        <v>6000</v>
      </c>
      <c r="F314" s="2">
        <v>680</v>
      </c>
      <c r="G314" s="2">
        <v>0</v>
      </c>
      <c r="H314" s="2" t="s">
        <v>210</v>
      </c>
      <c r="I314" s="2" t="s">
        <v>892</v>
      </c>
    </row>
    <row r="315" spans="1:9" ht="30" hidden="1" customHeight="1">
      <c r="A315" s="2" t="s">
        <v>893</v>
      </c>
      <c r="B315" s="2" t="s">
        <v>894</v>
      </c>
      <c r="C315" s="2" t="s">
        <v>563</v>
      </c>
      <c r="D315" s="2">
        <v>57</v>
      </c>
      <c r="E315" s="2">
        <v>10000</v>
      </c>
      <c r="F315" s="2">
        <v>900</v>
      </c>
      <c r="G315" s="2">
        <v>0</v>
      </c>
      <c r="H315" s="2" t="s">
        <v>210</v>
      </c>
      <c r="I315" s="2" t="s">
        <v>895</v>
      </c>
    </row>
    <row r="316" spans="1:9" ht="30" hidden="1" customHeight="1">
      <c r="A316" s="2" t="s">
        <v>896</v>
      </c>
      <c r="B316" s="2" t="s">
        <v>897</v>
      </c>
      <c r="C316" s="2" t="s">
        <v>898</v>
      </c>
      <c r="D316" s="2">
        <v>30</v>
      </c>
      <c r="E316" s="2">
        <v>5000</v>
      </c>
      <c r="F316" s="2">
        <v>350</v>
      </c>
      <c r="G316" s="2">
        <v>0</v>
      </c>
      <c r="H316" s="2" t="s">
        <v>210</v>
      </c>
      <c r="I316" s="2" t="s">
        <v>210</v>
      </c>
    </row>
    <row r="317" spans="1:9" ht="30" hidden="1" customHeight="1">
      <c r="A317" s="2" t="s">
        <v>899</v>
      </c>
      <c r="B317" s="2" t="s">
        <v>900</v>
      </c>
      <c r="C317" s="2" t="s">
        <v>901</v>
      </c>
      <c r="D317" s="2">
        <v>35</v>
      </c>
      <c r="E317" s="2">
        <v>5000</v>
      </c>
      <c r="F317" s="2">
        <v>450</v>
      </c>
      <c r="G317" s="2">
        <v>0</v>
      </c>
      <c r="H317" s="2" t="s">
        <v>210</v>
      </c>
      <c r="I317" s="2" t="s">
        <v>902</v>
      </c>
    </row>
    <row r="318" spans="1:9" ht="30" hidden="1" customHeight="1">
      <c r="A318" s="2" t="s">
        <v>903</v>
      </c>
      <c r="B318" s="2" t="s">
        <v>904</v>
      </c>
      <c r="C318" s="2" t="s">
        <v>563</v>
      </c>
      <c r="D318" s="2">
        <v>37</v>
      </c>
      <c r="E318" s="2">
        <v>25000</v>
      </c>
      <c r="F318" s="2">
        <v>1500</v>
      </c>
      <c r="G318" s="2">
        <v>0</v>
      </c>
      <c r="H318" s="2" t="s">
        <v>210</v>
      </c>
      <c r="I318" s="2" t="s">
        <v>210</v>
      </c>
    </row>
    <row r="319" spans="1:9" ht="30" hidden="1" customHeight="1">
      <c r="A319" s="2" t="s">
        <v>905</v>
      </c>
      <c r="B319" s="2" t="s">
        <v>906</v>
      </c>
      <c r="C319" s="2" t="s">
        <v>907</v>
      </c>
      <c r="D319" s="2">
        <v>25</v>
      </c>
      <c r="E319" s="2">
        <v>4000</v>
      </c>
      <c r="F319" s="2">
        <v>300</v>
      </c>
      <c r="G319" s="2">
        <v>7000</v>
      </c>
      <c r="H319" s="2" t="s">
        <v>210</v>
      </c>
      <c r="I319" s="2" t="s">
        <v>908</v>
      </c>
    </row>
    <row r="320" spans="1:9" ht="30" hidden="1" customHeight="1">
      <c r="A320" s="2" t="s">
        <v>909</v>
      </c>
      <c r="B320" s="2" t="s">
        <v>910</v>
      </c>
      <c r="C320" s="2" t="s">
        <v>911</v>
      </c>
      <c r="D320" s="2">
        <v>22</v>
      </c>
      <c r="E320" s="2">
        <v>4000</v>
      </c>
      <c r="F320" s="2">
        <v>390</v>
      </c>
      <c r="G320" s="2">
        <v>4000</v>
      </c>
      <c r="H320" s="2" t="s">
        <v>210</v>
      </c>
      <c r="I320" s="2" t="s">
        <v>912</v>
      </c>
    </row>
    <row r="322" spans="1:9" ht="30" hidden="1" customHeight="1">
      <c r="A322" s="13" t="s">
        <v>0</v>
      </c>
      <c r="B322" s="13" t="s">
        <v>961</v>
      </c>
      <c r="C322" s="13" t="s">
        <v>962</v>
      </c>
      <c r="D322" s="13" t="s">
        <v>918</v>
      </c>
      <c r="E322" s="13" t="s">
        <v>919</v>
      </c>
      <c r="F322" s="13" t="s">
        <v>920</v>
      </c>
      <c r="G322" s="13" t="s">
        <v>921</v>
      </c>
      <c r="H322" s="13" t="s">
        <v>922</v>
      </c>
      <c r="I322" s="13" t="s">
        <v>923</v>
      </c>
    </row>
    <row r="323" spans="1:9" ht="30" hidden="1" customHeight="1">
      <c r="A323" s="12" t="s">
        <v>924</v>
      </c>
      <c r="B323" s="14" t="s">
        <v>925</v>
      </c>
      <c r="C323" s="12" t="s">
        <v>963</v>
      </c>
      <c r="D323" s="12" t="s">
        <v>926</v>
      </c>
      <c r="E323" s="16">
        <v>3000</v>
      </c>
      <c r="F323" s="12">
        <v>150</v>
      </c>
      <c r="G323" s="16">
        <v>2000</v>
      </c>
      <c r="H323" s="12" t="s">
        <v>210</v>
      </c>
      <c r="I323" s="12" t="s">
        <v>927</v>
      </c>
    </row>
    <row r="324" spans="1:9" ht="30" hidden="1" customHeight="1">
      <c r="A324" s="12" t="s">
        <v>928</v>
      </c>
      <c r="B324" s="14" t="s">
        <v>925</v>
      </c>
      <c r="C324" s="12" t="s">
        <v>964</v>
      </c>
      <c r="D324" s="12" t="s">
        <v>929</v>
      </c>
      <c r="E324" s="16">
        <v>3000</v>
      </c>
      <c r="F324" s="12">
        <v>220</v>
      </c>
      <c r="G324" s="12" t="s">
        <v>930</v>
      </c>
      <c r="H324" s="12" t="s">
        <v>210</v>
      </c>
      <c r="I324" s="12" t="s">
        <v>931</v>
      </c>
    </row>
    <row r="325" spans="1:9" ht="30" hidden="1" customHeight="1">
      <c r="A325" s="12" t="s">
        <v>932</v>
      </c>
      <c r="B325" s="14" t="s">
        <v>925</v>
      </c>
      <c r="C325" s="12" t="s">
        <v>965</v>
      </c>
      <c r="D325" s="12" t="s">
        <v>933</v>
      </c>
      <c r="E325" s="16">
        <v>5000</v>
      </c>
      <c r="F325" s="12">
        <v>180</v>
      </c>
      <c r="G325" s="16">
        <v>10000</v>
      </c>
      <c r="H325" s="12" t="s">
        <v>210</v>
      </c>
      <c r="I325" s="12" t="s">
        <v>934</v>
      </c>
    </row>
    <row r="326" spans="1:9" ht="30" hidden="1" customHeight="1">
      <c r="A326" s="12" t="s">
        <v>935</v>
      </c>
      <c r="B326" s="14" t="s">
        <v>925</v>
      </c>
      <c r="C326" s="12" t="s">
        <v>964</v>
      </c>
      <c r="D326" s="12" t="s">
        <v>936</v>
      </c>
      <c r="E326" s="16">
        <v>5000</v>
      </c>
      <c r="F326" s="12">
        <v>380</v>
      </c>
      <c r="G326" s="12" t="s">
        <v>930</v>
      </c>
      <c r="H326" s="12" t="s">
        <v>210</v>
      </c>
      <c r="I326" s="12" t="s">
        <v>937</v>
      </c>
    </row>
    <row r="327" spans="1:9" ht="30" hidden="1" customHeight="1">
      <c r="A327" s="12" t="s">
        <v>938</v>
      </c>
      <c r="B327" s="14" t="s">
        <v>925</v>
      </c>
      <c r="C327" s="12" t="s">
        <v>966</v>
      </c>
      <c r="D327" s="12" t="s">
        <v>939</v>
      </c>
      <c r="E327" s="16">
        <v>4000</v>
      </c>
      <c r="F327" s="12">
        <v>310</v>
      </c>
      <c r="G327" s="12" t="s">
        <v>930</v>
      </c>
      <c r="H327" s="12" t="s">
        <v>210</v>
      </c>
      <c r="I327" s="12" t="s">
        <v>940</v>
      </c>
    </row>
    <row r="328" spans="1:9" ht="30" hidden="1" customHeight="1">
      <c r="A328" s="12" t="s">
        <v>941</v>
      </c>
      <c r="B328" s="14" t="s">
        <v>925</v>
      </c>
      <c r="C328" s="12" t="s">
        <v>967</v>
      </c>
      <c r="D328" s="12" t="s">
        <v>939</v>
      </c>
      <c r="E328" s="16">
        <v>3000</v>
      </c>
      <c r="F328" s="12">
        <v>230</v>
      </c>
      <c r="G328" s="16">
        <v>3500</v>
      </c>
      <c r="H328" s="12" t="s">
        <v>210</v>
      </c>
      <c r="I328" s="12"/>
    </row>
    <row r="329" spans="1:9" ht="30" hidden="1" customHeight="1">
      <c r="A329" s="12" t="s">
        <v>942</v>
      </c>
      <c r="B329" s="14" t="s">
        <v>960</v>
      </c>
      <c r="C329" s="12" t="s">
        <v>968</v>
      </c>
      <c r="D329" s="12" t="s">
        <v>943</v>
      </c>
      <c r="E329" s="16">
        <v>5000</v>
      </c>
      <c r="F329" s="12">
        <v>270</v>
      </c>
      <c r="G329" s="16">
        <v>3000</v>
      </c>
      <c r="H329" s="12" t="s">
        <v>210</v>
      </c>
      <c r="I329" s="12"/>
    </row>
    <row r="330" spans="1:9" ht="30" hidden="1" customHeight="1">
      <c r="A330" s="12" t="s">
        <v>944</v>
      </c>
      <c r="B330" s="14" t="s">
        <v>925</v>
      </c>
      <c r="C330" s="12" t="s">
        <v>969</v>
      </c>
      <c r="D330" s="12" t="s">
        <v>939</v>
      </c>
      <c r="E330" s="16">
        <v>5000</v>
      </c>
      <c r="F330" s="12">
        <v>390</v>
      </c>
      <c r="G330" s="16">
        <v>25000</v>
      </c>
      <c r="H330" s="12" t="s">
        <v>210</v>
      </c>
      <c r="I330" s="12" t="s">
        <v>945</v>
      </c>
    </row>
    <row r="331" spans="1:9" ht="30" hidden="1" customHeight="1">
      <c r="A331" s="12" t="s">
        <v>946</v>
      </c>
      <c r="B331" s="14" t="s">
        <v>925</v>
      </c>
      <c r="C331" s="12" t="s">
        <v>970</v>
      </c>
      <c r="D331" s="12" t="s">
        <v>939</v>
      </c>
      <c r="E331" s="16">
        <v>4000</v>
      </c>
      <c r="F331" s="12">
        <v>200</v>
      </c>
      <c r="G331" s="16">
        <v>2000</v>
      </c>
      <c r="H331" s="12" t="s">
        <v>210</v>
      </c>
      <c r="I331" s="12" t="s">
        <v>947</v>
      </c>
    </row>
    <row r="332" spans="1:9" ht="30" hidden="1" customHeight="1">
      <c r="A332" s="12" t="s">
        <v>140</v>
      </c>
      <c r="B332" s="14" t="s">
        <v>925</v>
      </c>
      <c r="C332" s="12" t="s">
        <v>971</v>
      </c>
      <c r="D332" s="12" t="s">
        <v>948</v>
      </c>
      <c r="E332" s="16">
        <v>5000</v>
      </c>
      <c r="F332" s="12">
        <v>330</v>
      </c>
      <c r="G332" s="16">
        <v>2000</v>
      </c>
      <c r="H332" s="12" t="s">
        <v>210</v>
      </c>
      <c r="I332" s="12" t="s">
        <v>949</v>
      </c>
    </row>
    <row r="333" spans="1:9" ht="30" hidden="1" customHeight="1">
      <c r="A333" s="12" t="s">
        <v>950</v>
      </c>
      <c r="B333" s="14" t="s">
        <v>925</v>
      </c>
      <c r="C333" s="12" t="s">
        <v>972</v>
      </c>
      <c r="D333" s="12" t="s">
        <v>939</v>
      </c>
      <c r="E333" s="16">
        <v>5500</v>
      </c>
      <c r="F333" s="12">
        <v>370</v>
      </c>
      <c r="G333" s="12" t="s">
        <v>930</v>
      </c>
      <c r="H333" s="12" t="s">
        <v>210</v>
      </c>
      <c r="I333" s="12" t="s">
        <v>951</v>
      </c>
    </row>
    <row r="334" spans="1:9" ht="30" hidden="1" customHeight="1">
      <c r="A334" s="12" t="s">
        <v>952</v>
      </c>
      <c r="B334" s="14" t="s">
        <v>925</v>
      </c>
      <c r="C334" s="12" t="s">
        <v>973</v>
      </c>
      <c r="D334" s="12" t="s">
        <v>953</v>
      </c>
      <c r="E334" s="16">
        <v>10000</v>
      </c>
      <c r="F334" s="12">
        <v>550</v>
      </c>
      <c r="G334" s="12" t="s">
        <v>930</v>
      </c>
      <c r="H334" s="12" t="s">
        <v>210</v>
      </c>
      <c r="I334" s="12" t="s">
        <v>954</v>
      </c>
    </row>
    <row r="335" spans="1:9" ht="30" hidden="1" customHeight="1">
      <c r="A335" s="12" t="s">
        <v>955</v>
      </c>
      <c r="B335" s="14" t="s">
        <v>925</v>
      </c>
      <c r="C335" s="12" t="s">
        <v>974</v>
      </c>
      <c r="D335" s="12" t="s">
        <v>956</v>
      </c>
      <c r="E335" s="16">
        <v>1000</v>
      </c>
      <c r="F335" s="12">
        <v>130</v>
      </c>
      <c r="G335" s="16">
        <v>1000</v>
      </c>
      <c r="H335" s="12" t="s">
        <v>930</v>
      </c>
      <c r="I335" s="12" t="s">
        <v>957</v>
      </c>
    </row>
    <row r="336" spans="1:9" ht="30" hidden="1" customHeight="1">
      <c r="A336" s="12" t="s">
        <v>958</v>
      </c>
      <c r="B336" s="14" t="s">
        <v>925</v>
      </c>
      <c r="C336" s="12" t="s">
        <v>975</v>
      </c>
      <c r="D336" s="12" t="s">
        <v>929</v>
      </c>
      <c r="E336" s="16">
        <v>2000</v>
      </c>
      <c r="F336" s="12">
        <v>160</v>
      </c>
      <c r="G336" s="12" t="s">
        <v>930</v>
      </c>
      <c r="H336" s="12">
        <v>5</v>
      </c>
      <c r="I336" s="12" t="s">
        <v>959</v>
      </c>
    </row>
    <row r="339" spans="1:9" ht="30" hidden="1" customHeight="1">
      <c r="A339" s="13" t="s">
        <v>0</v>
      </c>
      <c r="B339" s="13" t="s">
        <v>976</v>
      </c>
      <c r="C339" s="13" t="s">
        <v>1031</v>
      </c>
      <c r="D339" s="13" t="s">
        <v>3</v>
      </c>
      <c r="E339" s="13" t="s">
        <v>1050</v>
      </c>
      <c r="F339" s="13" t="s">
        <v>1051</v>
      </c>
      <c r="G339" s="13" t="s">
        <v>1052</v>
      </c>
      <c r="H339" s="13" t="s">
        <v>455</v>
      </c>
      <c r="I339" s="13" t="s">
        <v>8</v>
      </c>
    </row>
    <row r="340" spans="1:9" ht="30" hidden="1" customHeight="1">
      <c r="A340" s="12" t="s">
        <v>977</v>
      </c>
      <c r="B340" s="14" t="s">
        <v>960</v>
      </c>
      <c r="C340" s="12" t="s">
        <v>1032</v>
      </c>
      <c r="D340" s="12" t="s">
        <v>978</v>
      </c>
      <c r="E340" s="16">
        <v>8000</v>
      </c>
      <c r="F340" s="12">
        <v>850</v>
      </c>
      <c r="G340" s="16">
        <v>15000</v>
      </c>
      <c r="H340" s="12" t="s">
        <v>210</v>
      </c>
      <c r="I340" s="12" t="s">
        <v>979</v>
      </c>
    </row>
    <row r="341" spans="1:9" ht="30" hidden="1" customHeight="1">
      <c r="A341" s="12" t="s">
        <v>980</v>
      </c>
      <c r="B341" s="14" t="s">
        <v>925</v>
      </c>
      <c r="C341" s="12" t="s">
        <v>1033</v>
      </c>
      <c r="D341" s="12" t="s">
        <v>981</v>
      </c>
      <c r="E341" s="16">
        <v>5000</v>
      </c>
      <c r="F341" s="12">
        <v>400</v>
      </c>
      <c r="G341" s="12">
        <v>0</v>
      </c>
      <c r="H341" s="12" t="s">
        <v>210</v>
      </c>
      <c r="I341" s="12" t="s">
        <v>982</v>
      </c>
    </row>
    <row r="342" spans="1:9" ht="30" hidden="1" customHeight="1">
      <c r="A342" s="12" t="s">
        <v>523</v>
      </c>
      <c r="B342" s="14" t="s">
        <v>925</v>
      </c>
      <c r="C342" s="12" t="s">
        <v>563</v>
      </c>
      <c r="D342" s="12" t="s">
        <v>943</v>
      </c>
      <c r="E342" s="16">
        <v>6000</v>
      </c>
      <c r="F342" s="12">
        <v>400</v>
      </c>
      <c r="G342" s="12">
        <v>0</v>
      </c>
      <c r="H342" s="12">
        <v>45</v>
      </c>
      <c r="I342" s="12" t="s">
        <v>983</v>
      </c>
    </row>
    <row r="343" spans="1:9" ht="30" hidden="1" customHeight="1">
      <c r="A343" s="12" t="s">
        <v>984</v>
      </c>
      <c r="B343" s="14" t="s">
        <v>925</v>
      </c>
      <c r="C343" s="12" t="s">
        <v>1034</v>
      </c>
      <c r="D343" s="12" t="s">
        <v>929</v>
      </c>
      <c r="E343" s="16">
        <v>5000</v>
      </c>
      <c r="F343" s="12">
        <v>300</v>
      </c>
      <c r="G343" s="12">
        <v>0</v>
      </c>
      <c r="H343" s="12" t="s">
        <v>210</v>
      </c>
      <c r="I343" s="12" t="s">
        <v>985</v>
      </c>
    </row>
    <row r="344" spans="1:9" ht="30" hidden="1" customHeight="1">
      <c r="A344" s="12" t="s">
        <v>986</v>
      </c>
      <c r="B344" s="14" t="s">
        <v>925</v>
      </c>
      <c r="C344" s="12" t="s">
        <v>1035</v>
      </c>
      <c r="D344" s="12" t="s">
        <v>926</v>
      </c>
      <c r="E344" s="16">
        <v>10000</v>
      </c>
      <c r="F344" s="12">
        <v>550</v>
      </c>
      <c r="G344" s="16">
        <v>6000</v>
      </c>
      <c r="H344" s="12">
        <v>70</v>
      </c>
      <c r="I344" s="12" t="s">
        <v>987</v>
      </c>
    </row>
    <row r="345" spans="1:9" ht="30" hidden="1" customHeight="1">
      <c r="A345" s="12" t="s">
        <v>988</v>
      </c>
      <c r="B345" s="14" t="s">
        <v>960</v>
      </c>
      <c r="C345" s="12" t="s">
        <v>1036</v>
      </c>
      <c r="D345" s="12" t="s">
        <v>989</v>
      </c>
      <c r="E345" s="16">
        <v>2000</v>
      </c>
      <c r="F345" s="12">
        <v>160</v>
      </c>
      <c r="G345" s="12">
        <v>0</v>
      </c>
      <c r="H345" s="12" t="s">
        <v>210</v>
      </c>
      <c r="I345" s="12" t="s">
        <v>990</v>
      </c>
    </row>
    <row r="346" spans="1:9" ht="30" hidden="1" customHeight="1">
      <c r="A346" s="12" t="s">
        <v>1056</v>
      </c>
      <c r="B346" s="14" t="s">
        <v>960</v>
      </c>
      <c r="C346" s="12" t="s">
        <v>1037</v>
      </c>
      <c r="D346" s="12" t="s">
        <v>991</v>
      </c>
      <c r="E346" s="16">
        <v>3000</v>
      </c>
      <c r="F346" s="12">
        <v>230</v>
      </c>
      <c r="G346" s="16">
        <v>1500</v>
      </c>
      <c r="H346" s="12" t="s">
        <v>210</v>
      </c>
      <c r="I346" s="12" t="s">
        <v>992</v>
      </c>
    </row>
    <row r="347" spans="1:9" ht="30" hidden="1" customHeight="1">
      <c r="A347" s="12" t="s">
        <v>993</v>
      </c>
      <c r="B347" s="14" t="s">
        <v>925</v>
      </c>
      <c r="C347" s="12" t="s">
        <v>1038</v>
      </c>
      <c r="D347" s="12" t="s">
        <v>991</v>
      </c>
      <c r="E347" s="16">
        <v>10000</v>
      </c>
      <c r="F347" s="12">
        <v>700</v>
      </c>
      <c r="G347" s="12">
        <v>0</v>
      </c>
      <c r="H347" s="12" t="s">
        <v>210</v>
      </c>
      <c r="I347" s="12" t="s">
        <v>994</v>
      </c>
    </row>
    <row r="348" spans="1:9" ht="30" hidden="1" customHeight="1">
      <c r="A348" s="12" t="s">
        <v>995</v>
      </c>
      <c r="B348" s="14" t="s">
        <v>925</v>
      </c>
      <c r="C348" s="12" t="s">
        <v>1039</v>
      </c>
      <c r="D348" s="12" t="s">
        <v>943</v>
      </c>
      <c r="E348" s="16">
        <v>8000</v>
      </c>
      <c r="F348" s="12">
        <v>460</v>
      </c>
      <c r="G348" s="16">
        <v>5000</v>
      </c>
      <c r="H348" s="12" t="s">
        <v>210</v>
      </c>
      <c r="I348" s="12" t="s">
        <v>210</v>
      </c>
    </row>
    <row r="349" spans="1:9" ht="30" hidden="1" customHeight="1">
      <c r="A349" s="12" t="s">
        <v>995</v>
      </c>
      <c r="B349" s="14" t="s">
        <v>925</v>
      </c>
      <c r="C349" s="12" t="s">
        <v>1040</v>
      </c>
      <c r="D349" s="12" t="s">
        <v>943</v>
      </c>
      <c r="E349" s="16">
        <v>10000</v>
      </c>
      <c r="F349" s="12">
        <v>400</v>
      </c>
      <c r="G349" s="12">
        <v>0</v>
      </c>
      <c r="H349" s="12" t="s">
        <v>210</v>
      </c>
      <c r="I349" s="12" t="s">
        <v>996</v>
      </c>
    </row>
    <row r="350" spans="1:9" ht="30" hidden="1" customHeight="1">
      <c r="A350" s="12" t="s">
        <v>997</v>
      </c>
      <c r="B350" s="14" t="s">
        <v>925</v>
      </c>
      <c r="C350" s="12" t="s">
        <v>1041</v>
      </c>
      <c r="D350" s="12" t="s">
        <v>998</v>
      </c>
      <c r="E350" s="16">
        <v>6000</v>
      </c>
      <c r="F350" s="12">
        <v>450</v>
      </c>
      <c r="G350" s="16">
        <v>5000</v>
      </c>
      <c r="H350" s="12" t="s">
        <v>210</v>
      </c>
      <c r="I350" s="12" t="s">
        <v>999</v>
      </c>
    </row>
    <row r="351" spans="1:9" ht="30" hidden="1" customHeight="1">
      <c r="A351" s="12" t="s">
        <v>1000</v>
      </c>
      <c r="B351" s="14" t="s">
        <v>960</v>
      </c>
      <c r="C351" s="12" t="s">
        <v>1042</v>
      </c>
      <c r="D351" s="12" t="s">
        <v>1001</v>
      </c>
      <c r="E351" s="16">
        <v>3000</v>
      </c>
      <c r="F351" s="12">
        <v>180</v>
      </c>
      <c r="G351" s="12">
        <v>0</v>
      </c>
      <c r="H351" s="12" t="s">
        <v>210</v>
      </c>
      <c r="I351" s="12" t="s">
        <v>1002</v>
      </c>
    </row>
    <row r="352" spans="1:9" s="24" customFormat="1" ht="30" customHeight="1">
      <c r="A352" s="20" t="s">
        <v>668</v>
      </c>
      <c r="B352" s="21" t="s">
        <v>925</v>
      </c>
      <c r="C352" s="20" t="s">
        <v>1043</v>
      </c>
      <c r="D352" s="20" t="s">
        <v>1003</v>
      </c>
      <c r="E352" s="22">
        <v>10000</v>
      </c>
      <c r="F352" s="20">
        <v>700</v>
      </c>
      <c r="G352" s="22">
        <v>8000</v>
      </c>
      <c r="H352" s="20" t="s">
        <v>210</v>
      </c>
      <c r="I352" s="20" t="s">
        <v>1004</v>
      </c>
    </row>
    <row r="353" spans="1:9" ht="30" hidden="1" customHeight="1">
      <c r="A353" s="12" t="s">
        <v>1005</v>
      </c>
      <c r="B353" s="14" t="s">
        <v>925</v>
      </c>
      <c r="C353" s="12" t="s">
        <v>1044</v>
      </c>
      <c r="D353" s="12" t="s">
        <v>1006</v>
      </c>
      <c r="E353" s="16">
        <v>5000</v>
      </c>
      <c r="F353" s="12">
        <v>650</v>
      </c>
      <c r="G353" s="16">
        <v>10000</v>
      </c>
      <c r="H353" s="12" t="s">
        <v>210</v>
      </c>
      <c r="I353" s="12" t="s">
        <v>1007</v>
      </c>
    </row>
    <row r="354" spans="1:9" ht="30" hidden="1" customHeight="1">
      <c r="A354" s="12" t="s">
        <v>1008</v>
      </c>
      <c r="B354" s="14" t="s">
        <v>925</v>
      </c>
      <c r="C354" s="12" t="s">
        <v>1045</v>
      </c>
      <c r="D354" s="12" t="s">
        <v>1009</v>
      </c>
      <c r="E354" s="16">
        <v>5000</v>
      </c>
      <c r="F354" s="12">
        <v>520</v>
      </c>
      <c r="G354" s="16">
        <v>20000</v>
      </c>
      <c r="H354" s="12" t="s">
        <v>210</v>
      </c>
      <c r="I354" s="12" t="s">
        <v>1010</v>
      </c>
    </row>
    <row r="355" spans="1:9" ht="30" hidden="1" customHeight="1">
      <c r="A355" s="12" t="s">
        <v>1011</v>
      </c>
      <c r="B355" s="14" t="s">
        <v>960</v>
      </c>
      <c r="C355" s="12" t="s">
        <v>563</v>
      </c>
      <c r="D355" s="12" t="s">
        <v>1012</v>
      </c>
      <c r="E355" s="16">
        <v>10000</v>
      </c>
      <c r="F355" s="16">
        <v>1000</v>
      </c>
      <c r="G355" s="12">
        <v>0</v>
      </c>
      <c r="H355" s="12" t="s">
        <v>210</v>
      </c>
      <c r="I355" s="12" t="s">
        <v>1013</v>
      </c>
    </row>
    <row r="356" spans="1:9" ht="30" hidden="1" customHeight="1">
      <c r="A356" s="12" t="s">
        <v>1014</v>
      </c>
      <c r="B356" s="14" t="s">
        <v>925</v>
      </c>
      <c r="C356" s="12" t="s">
        <v>1036</v>
      </c>
      <c r="D356" s="12" t="s">
        <v>1055</v>
      </c>
      <c r="E356" s="16">
        <v>5000</v>
      </c>
      <c r="F356" s="12">
        <v>500</v>
      </c>
      <c r="G356" s="12">
        <v>0</v>
      </c>
      <c r="H356" s="12" t="s">
        <v>210</v>
      </c>
      <c r="I356" s="12" t="s">
        <v>210</v>
      </c>
    </row>
    <row r="357" spans="1:9" ht="30" hidden="1" customHeight="1">
      <c r="A357" s="12" t="s">
        <v>1014</v>
      </c>
      <c r="B357" s="14" t="s">
        <v>960</v>
      </c>
      <c r="C357" s="12" t="s">
        <v>1046</v>
      </c>
      <c r="D357" s="12" t="s">
        <v>1015</v>
      </c>
      <c r="E357" s="16">
        <v>8000</v>
      </c>
      <c r="F357" s="12">
        <v>690</v>
      </c>
      <c r="G357" s="12">
        <v>0</v>
      </c>
      <c r="H357" s="12" t="s">
        <v>210</v>
      </c>
      <c r="I357" s="12" t="s">
        <v>1016</v>
      </c>
    </row>
    <row r="358" spans="1:9" ht="30" hidden="1" customHeight="1">
      <c r="A358" s="12" t="s">
        <v>1017</v>
      </c>
      <c r="B358" s="14" t="s">
        <v>960</v>
      </c>
      <c r="C358" s="12" t="s">
        <v>1047</v>
      </c>
      <c r="D358" s="12" t="s">
        <v>1018</v>
      </c>
      <c r="E358" s="16">
        <v>5000</v>
      </c>
      <c r="F358" s="12">
        <v>450</v>
      </c>
      <c r="G358" s="12">
        <v>0</v>
      </c>
      <c r="H358" s="12" t="s">
        <v>210</v>
      </c>
      <c r="I358" s="12" t="s">
        <v>1019</v>
      </c>
    </row>
    <row r="359" spans="1:9" ht="30" hidden="1" customHeight="1">
      <c r="A359" s="12" t="s">
        <v>1020</v>
      </c>
      <c r="B359" s="14" t="s">
        <v>925</v>
      </c>
      <c r="C359" s="12" t="s">
        <v>1048</v>
      </c>
      <c r="D359" s="12" t="s">
        <v>1054</v>
      </c>
      <c r="E359" s="16">
        <v>4500</v>
      </c>
      <c r="F359" s="12">
        <v>264</v>
      </c>
      <c r="G359" s="16">
        <v>4500</v>
      </c>
      <c r="H359" s="12">
        <v>10</v>
      </c>
      <c r="I359" s="12" t="s">
        <v>1021</v>
      </c>
    </row>
    <row r="360" spans="1:9" ht="30" hidden="1" customHeight="1">
      <c r="A360" s="12" t="s">
        <v>1022</v>
      </c>
      <c r="B360" s="14" t="s">
        <v>925</v>
      </c>
      <c r="C360" s="12" t="s">
        <v>1049</v>
      </c>
      <c r="D360" s="12" t="s">
        <v>1023</v>
      </c>
      <c r="E360" s="16">
        <v>2000</v>
      </c>
      <c r="F360" s="12">
        <v>200</v>
      </c>
      <c r="G360" s="16">
        <v>1000</v>
      </c>
      <c r="H360" s="12" t="s">
        <v>210</v>
      </c>
      <c r="I360" s="12" t="s">
        <v>1024</v>
      </c>
    </row>
    <row r="361" spans="1:9" ht="30" hidden="1" customHeight="1">
      <c r="A361" s="12" t="s">
        <v>1025</v>
      </c>
      <c r="B361" s="14" t="s">
        <v>925</v>
      </c>
      <c r="C361" s="12" t="s">
        <v>563</v>
      </c>
      <c r="D361" s="12" t="s">
        <v>1026</v>
      </c>
      <c r="E361" s="16">
        <v>4000</v>
      </c>
      <c r="F361" s="12">
        <v>260</v>
      </c>
      <c r="G361" s="12">
        <v>0</v>
      </c>
      <c r="H361" s="12">
        <v>40</v>
      </c>
      <c r="I361" s="12" t="s">
        <v>1027</v>
      </c>
    </row>
    <row r="362" spans="1:9" ht="30" hidden="1" customHeight="1">
      <c r="A362" s="12" t="s">
        <v>1028</v>
      </c>
      <c r="B362" s="14" t="s">
        <v>925</v>
      </c>
      <c r="C362" s="12" t="s">
        <v>1053</v>
      </c>
      <c r="D362" s="12" t="s">
        <v>1029</v>
      </c>
      <c r="E362" s="16">
        <v>5000</v>
      </c>
      <c r="F362" s="12">
        <v>270</v>
      </c>
      <c r="G362" s="16">
        <v>6000</v>
      </c>
      <c r="H362" s="12">
        <v>13</v>
      </c>
      <c r="I362" s="12" t="s">
        <v>1030</v>
      </c>
    </row>
    <row r="364" spans="1:9" ht="30" hidden="1" customHeight="1">
      <c r="A364" s="13" t="s">
        <v>0</v>
      </c>
      <c r="B364" s="13" t="s">
        <v>960</v>
      </c>
      <c r="C364" s="13" t="s">
        <v>1031</v>
      </c>
      <c r="D364" s="13" t="s">
        <v>3</v>
      </c>
      <c r="E364" s="13" t="s">
        <v>1050</v>
      </c>
      <c r="F364" s="13" t="s">
        <v>1051</v>
      </c>
      <c r="G364" s="13" t="s">
        <v>1052</v>
      </c>
      <c r="H364" s="13" t="s">
        <v>455</v>
      </c>
      <c r="I364" s="13" t="s">
        <v>8</v>
      </c>
    </row>
    <row r="365" spans="1:9" ht="30" hidden="1" customHeight="1">
      <c r="A365" s="12" t="s">
        <v>1057</v>
      </c>
      <c r="B365" s="14" t="s">
        <v>925</v>
      </c>
      <c r="C365" s="12" t="s">
        <v>1058</v>
      </c>
      <c r="D365" s="12" t="s">
        <v>1059</v>
      </c>
      <c r="E365" s="16">
        <v>10000</v>
      </c>
      <c r="F365" s="16">
        <v>1000</v>
      </c>
      <c r="G365" s="16">
        <v>10000</v>
      </c>
      <c r="H365" s="12" t="s">
        <v>210</v>
      </c>
      <c r="I365" s="12" t="s">
        <v>1060</v>
      </c>
    </row>
    <row r="366" spans="1:9" ht="30" hidden="1" customHeight="1">
      <c r="A366" s="12" t="s">
        <v>1061</v>
      </c>
      <c r="B366" s="14" t="s">
        <v>925</v>
      </c>
      <c r="C366" s="12" t="s">
        <v>1062</v>
      </c>
      <c r="D366" s="12" t="s">
        <v>929</v>
      </c>
      <c r="E366" s="16">
        <v>5000</v>
      </c>
      <c r="F366" s="12">
        <v>300</v>
      </c>
      <c r="G366" s="16">
        <v>15000</v>
      </c>
      <c r="H366" s="12" t="s">
        <v>210</v>
      </c>
      <c r="I366" s="12" t="s">
        <v>1063</v>
      </c>
    </row>
    <row r="367" spans="1:9" ht="30" hidden="1" customHeight="1">
      <c r="A367" s="12" t="s">
        <v>1064</v>
      </c>
      <c r="B367" s="14" t="s">
        <v>925</v>
      </c>
      <c r="C367" s="12" t="s">
        <v>1065</v>
      </c>
      <c r="D367" s="12" t="s">
        <v>1066</v>
      </c>
      <c r="E367" s="16">
        <v>6000</v>
      </c>
      <c r="F367" s="12">
        <v>500</v>
      </c>
      <c r="G367" s="16">
        <v>7000</v>
      </c>
      <c r="H367" s="12" t="s">
        <v>210</v>
      </c>
      <c r="I367" s="12" t="s">
        <v>1067</v>
      </c>
    </row>
    <row r="368" spans="1:9" ht="30" hidden="1" customHeight="1">
      <c r="A368" s="12" t="s">
        <v>1068</v>
      </c>
      <c r="B368" s="14" t="s">
        <v>925</v>
      </c>
      <c r="C368" s="12" t="s">
        <v>1069</v>
      </c>
      <c r="D368" s="12" t="s">
        <v>1018</v>
      </c>
      <c r="E368" s="16">
        <v>8000</v>
      </c>
      <c r="F368" s="12">
        <v>600</v>
      </c>
      <c r="G368" s="16">
        <v>20000</v>
      </c>
      <c r="H368" s="12" t="s">
        <v>210</v>
      </c>
      <c r="I368" s="12" t="s">
        <v>210</v>
      </c>
    </row>
    <row r="369" spans="1:9" ht="30" hidden="1" customHeight="1">
      <c r="A369" s="12" t="s">
        <v>1070</v>
      </c>
      <c r="B369" s="14" t="s">
        <v>925</v>
      </c>
      <c r="C369" s="12" t="s">
        <v>1071</v>
      </c>
      <c r="D369" s="12" t="s">
        <v>926</v>
      </c>
      <c r="E369" s="16">
        <v>6000</v>
      </c>
      <c r="F369" s="12">
        <v>700</v>
      </c>
      <c r="G369" s="16">
        <v>24000</v>
      </c>
      <c r="H369" s="12" t="s">
        <v>210</v>
      </c>
      <c r="I369" s="12" t="s">
        <v>210</v>
      </c>
    </row>
    <row r="370" spans="1:9" ht="30" hidden="1" customHeight="1">
      <c r="A370" s="12" t="s">
        <v>1064</v>
      </c>
      <c r="B370" s="14" t="s">
        <v>925</v>
      </c>
      <c r="C370" s="12" t="s">
        <v>1072</v>
      </c>
      <c r="D370" s="12" t="s">
        <v>1073</v>
      </c>
      <c r="E370" s="16">
        <v>10000</v>
      </c>
      <c r="F370" s="12">
        <v>550</v>
      </c>
      <c r="G370" s="16">
        <v>5000</v>
      </c>
      <c r="H370" s="12" t="s">
        <v>210</v>
      </c>
      <c r="I370" s="12" t="s">
        <v>1074</v>
      </c>
    </row>
    <row r="371" spans="1:9" ht="30" hidden="1" customHeight="1">
      <c r="A371" s="12" t="s">
        <v>1075</v>
      </c>
      <c r="B371" s="14" t="s">
        <v>960</v>
      </c>
      <c r="C371" s="12" t="s">
        <v>1120</v>
      </c>
      <c r="D371" s="12" t="s">
        <v>1076</v>
      </c>
      <c r="E371" s="16">
        <v>4000</v>
      </c>
      <c r="F371" s="12">
        <v>200</v>
      </c>
      <c r="G371" s="16">
        <v>4000</v>
      </c>
      <c r="H371" s="12">
        <v>0</v>
      </c>
      <c r="I371" s="12" t="s">
        <v>1077</v>
      </c>
    </row>
    <row r="372" spans="1:9" ht="30" hidden="1" customHeight="1">
      <c r="A372" s="12" t="s">
        <v>1078</v>
      </c>
      <c r="B372" s="14" t="s">
        <v>925</v>
      </c>
      <c r="C372" s="12" t="s">
        <v>1079</v>
      </c>
      <c r="D372" s="12" t="s">
        <v>943</v>
      </c>
      <c r="E372" s="16">
        <v>6000</v>
      </c>
      <c r="F372" s="12">
        <v>460</v>
      </c>
      <c r="G372" s="12" t="s">
        <v>210</v>
      </c>
      <c r="H372" s="12" t="s">
        <v>210</v>
      </c>
      <c r="I372" s="12" t="s">
        <v>1121</v>
      </c>
    </row>
    <row r="373" spans="1:9" ht="30" hidden="1" customHeight="1">
      <c r="A373" s="12" t="s">
        <v>1080</v>
      </c>
      <c r="B373" s="14" t="s">
        <v>960</v>
      </c>
      <c r="C373" s="12" t="s">
        <v>1081</v>
      </c>
      <c r="D373" s="12" t="s">
        <v>1082</v>
      </c>
      <c r="E373" s="16">
        <v>4000</v>
      </c>
      <c r="F373" s="12">
        <v>400</v>
      </c>
      <c r="G373" s="16">
        <v>15000</v>
      </c>
      <c r="H373" s="12" t="s">
        <v>210</v>
      </c>
      <c r="I373" s="12" t="s">
        <v>210</v>
      </c>
    </row>
    <row r="374" spans="1:9" ht="30" hidden="1" customHeight="1">
      <c r="A374" s="12" t="s">
        <v>1083</v>
      </c>
      <c r="B374" s="14" t="s">
        <v>960</v>
      </c>
      <c r="C374" s="12" t="s">
        <v>1084</v>
      </c>
      <c r="D374" s="12" t="s">
        <v>1085</v>
      </c>
      <c r="E374" s="16">
        <v>3000</v>
      </c>
      <c r="F374" s="12">
        <v>300</v>
      </c>
      <c r="G374" s="16">
        <v>16000</v>
      </c>
      <c r="H374" s="12" t="s">
        <v>210</v>
      </c>
      <c r="I374" s="12" t="s">
        <v>1086</v>
      </c>
    </row>
    <row r="375" spans="1:9" ht="30" hidden="1" customHeight="1">
      <c r="A375" s="12" t="s">
        <v>1087</v>
      </c>
      <c r="B375" s="14" t="s">
        <v>960</v>
      </c>
      <c r="C375" s="12" t="s">
        <v>1122</v>
      </c>
      <c r="D375" s="12" t="s">
        <v>929</v>
      </c>
      <c r="E375" s="16">
        <v>3100</v>
      </c>
      <c r="F375" s="12">
        <v>353</v>
      </c>
      <c r="G375" s="16">
        <v>22000</v>
      </c>
      <c r="H375" s="12" t="s">
        <v>210</v>
      </c>
      <c r="I375" s="12" t="s">
        <v>210</v>
      </c>
    </row>
    <row r="376" spans="1:9" ht="30" hidden="1" customHeight="1">
      <c r="A376" s="12" t="s">
        <v>1088</v>
      </c>
      <c r="B376" s="14" t="s">
        <v>925</v>
      </c>
      <c r="C376" s="12" t="s">
        <v>1089</v>
      </c>
      <c r="D376" s="12" t="s">
        <v>1090</v>
      </c>
      <c r="E376" s="16">
        <v>3000</v>
      </c>
      <c r="F376" s="12">
        <v>300</v>
      </c>
      <c r="G376" s="16">
        <v>20000</v>
      </c>
      <c r="H376" s="12" t="s">
        <v>210</v>
      </c>
      <c r="I376" s="12" t="s">
        <v>210</v>
      </c>
    </row>
    <row r="377" spans="1:9" ht="30" hidden="1" customHeight="1">
      <c r="A377" s="12" t="s">
        <v>1091</v>
      </c>
      <c r="B377" s="14" t="s">
        <v>925</v>
      </c>
      <c r="C377" s="12" t="s">
        <v>1092</v>
      </c>
      <c r="D377" s="12" t="s">
        <v>929</v>
      </c>
      <c r="E377" s="16">
        <v>8000</v>
      </c>
      <c r="F377" s="12">
        <v>500</v>
      </c>
      <c r="G377" s="16">
        <v>25000</v>
      </c>
      <c r="H377" s="12" t="s">
        <v>210</v>
      </c>
      <c r="I377" s="12" t="s">
        <v>210</v>
      </c>
    </row>
    <row r="378" spans="1:9" ht="30" hidden="1" customHeight="1">
      <c r="A378" s="12" t="s">
        <v>1093</v>
      </c>
      <c r="B378" s="14" t="s">
        <v>925</v>
      </c>
      <c r="C378" s="12" t="s">
        <v>1094</v>
      </c>
      <c r="D378" s="12" t="s">
        <v>1095</v>
      </c>
      <c r="E378" s="16">
        <v>3500</v>
      </c>
      <c r="F378" s="12">
        <v>280</v>
      </c>
      <c r="G378" s="16">
        <v>16000</v>
      </c>
      <c r="H378" s="12" t="s">
        <v>210</v>
      </c>
      <c r="I378" s="12" t="s">
        <v>1096</v>
      </c>
    </row>
    <row r="379" spans="1:9" ht="30" hidden="1" customHeight="1">
      <c r="A379" s="12" t="s">
        <v>1097</v>
      </c>
      <c r="B379" s="14" t="s">
        <v>925</v>
      </c>
      <c r="C379" s="12" t="s">
        <v>1098</v>
      </c>
      <c r="D379" s="12" t="s">
        <v>929</v>
      </c>
      <c r="E379" s="16">
        <v>4000</v>
      </c>
      <c r="F379" s="12">
        <v>400</v>
      </c>
      <c r="G379" s="16">
        <v>30000</v>
      </c>
      <c r="H379" s="12" t="s">
        <v>210</v>
      </c>
      <c r="I379" s="12" t="s">
        <v>210</v>
      </c>
    </row>
    <row r="380" spans="1:9" ht="30" hidden="1" customHeight="1">
      <c r="A380" s="12" t="s">
        <v>1099</v>
      </c>
      <c r="B380" s="14" t="s">
        <v>925</v>
      </c>
      <c r="C380" s="12" t="s">
        <v>1100</v>
      </c>
      <c r="D380" s="12" t="s">
        <v>1001</v>
      </c>
      <c r="E380" s="16">
        <v>12000</v>
      </c>
      <c r="F380" s="12">
        <v>900</v>
      </c>
      <c r="G380" s="16">
        <v>38000</v>
      </c>
      <c r="H380" s="12" t="s">
        <v>210</v>
      </c>
      <c r="I380" s="12" t="s">
        <v>210</v>
      </c>
    </row>
    <row r="381" spans="1:9" ht="30" hidden="1" customHeight="1">
      <c r="A381" s="12" t="s">
        <v>1101</v>
      </c>
      <c r="B381" s="14" t="s">
        <v>960</v>
      </c>
      <c r="C381" s="12" t="s">
        <v>1102</v>
      </c>
      <c r="D381" s="12" t="s">
        <v>943</v>
      </c>
      <c r="E381" s="16">
        <v>10000</v>
      </c>
      <c r="F381" s="12">
        <v>800</v>
      </c>
      <c r="G381" s="16">
        <v>10000</v>
      </c>
      <c r="H381" s="12" t="s">
        <v>210</v>
      </c>
      <c r="I381" s="12" t="s">
        <v>1103</v>
      </c>
    </row>
    <row r="382" spans="1:9" ht="30" hidden="1" customHeight="1">
      <c r="A382" s="12" t="s">
        <v>1104</v>
      </c>
      <c r="B382" s="14" t="s">
        <v>925</v>
      </c>
      <c r="C382" s="12" t="s">
        <v>1105</v>
      </c>
      <c r="D382" s="12" t="s">
        <v>1106</v>
      </c>
      <c r="E382" s="16">
        <v>4000</v>
      </c>
      <c r="F382" s="12">
        <v>330</v>
      </c>
      <c r="G382" s="16">
        <v>4000</v>
      </c>
      <c r="H382" s="12" t="s">
        <v>210</v>
      </c>
      <c r="I382" s="12" t="s">
        <v>210</v>
      </c>
    </row>
    <row r="383" spans="1:9" ht="30" hidden="1" customHeight="1">
      <c r="A383" s="12" t="s">
        <v>1107</v>
      </c>
      <c r="B383" s="14" t="s">
        <v>925</v>
      </c>
      <c r="C383" s="12" t="s">
        <v>1108</v>
      </c>
      <c r="D383" s="12" t="s">
        <v>1109</v>
      </c>
      <c r="E383" s="16">
        <v>20000</v>
      </c>
      <c r="F383" s="12">
        <v>900</v>
      </c>
      <c r="G383" s="16">
        <v>5000</v>
      </c>
      <c r="H383" s="12" t="s">
        <v>210</v>
      </c>
      <c r="I383" s="12" t="s">
        <v>1110</v>
      </c>
    </row>
    <row r="384" spans="1:9" ht="30" hidden="1" customHeight="1">
      <c r="A384" s="12" t="s">
        <v>1111</v>
      </c>
      <c r="B384" s="14" t="s">
        <v>925</v>
      </c>
      <c r="C384" s="12" t="s">
        <v>1112</v>
      </c>
      <c r="D384" s="12" t="s">
        <v>1090</v>
      </c>
      <c r="E384" s="16">
        <v>8000</v>
      </c>
      <c r="F384" s="12">
        <v>500</v>
      </c>
      <c r="G384" s="16">
        <v>12000</v>
      </c>
      <c r="H384" s="12" t="s">
        <v>210</v>
      </c>
      <c r="I384" s="12" t="s">
        <v>210</v>
      </c>
    </row>
    <row r="385" spans="1:9" ht="30" hidden="1" customHeight="1">
      <c r="A385" s="12" t="s">
        <v>1113</v>
      </c>
      <c r="B385" s="14" t="s">
        <v>925</v>
      </c>
      <c r="C385" s="12" t="s">
        <v>1114</v>
      </c>
      <c r="D385" s="12" t="s">
        <v>1115</v>
      </c>
      <c r="E385" s="16">
        <v>5000</v>
      </c>
      <c r="F385" s="12">
        <v>320</v>
      </c>
      <c r="G385" s="16">
        <v>10000</v>
      </c>
      <c r="H385" s="12" t="s">
        <v>210</v>
      </c>
      <c r="I385" s="12" t="s">
        <v>210</v>
      </c>
    </row>
    <row r="386" spans="1:9" ht="30" hidden="1" customHeight="1">
      <c r="A386" s="12" t="s">
        <v>1116</v>
      </c>
      <c r="B386" s="14" t="s">
        <v>925</v>
      </c>
      <c r="C386" s="12" t="s">
        <v>1117</v>
      </c>
      <c r="D386" s="12" t="s">
        <v>1118</v>
      </c>
      <c r="E386" s="16">
        <v>8000</v>
      </c>
      <c r="F386" s="12">
        <v>270</v>
      </c>
      <c r="G386" s="16">
        <v>10000</v>
      </c>
      <c r="H386" s="12" t="s">
        <v>210</v>
      </c>
      <c r="I386" s="12" t="s">
        <v>1119</v>
      </c>
    </row>
    <row r="388" spans="1:9" ht="30" hidden="1" customHeight="1">
      <c r="A388" s="2" t="s">
        <v>0</v>
      </c>
      <c r="B388" s="2" t="s">
        <v>976</v>
      </c>
      <c r="C388" s="2" t="s">
        <v>1123</v>
      </c>
      <c r="D388" s="2" t="s">
        <v>3</v>
      </c>
      <c r="E388" s="2" t="s">
        <v>1050</v>
      </c>
      <c r="F388" s="2" t="s">
        <v>1051</v>
      </c>
      <c r="G388" s="2" t="s">
        <v>1052</v>
      </c>
      <c r="H388" s="2" t="s">
        <v>455</v>
      </c>
      <c r="I388" s="2" t="s">
        <v>8</v>
      </c>
    </row>
    <row r="389" spans="1:9" ht="30" hidden="1" customHeight="1">
      <c r="A389" s="2" t="s">
        <v>1124</v>
      </c>
      <c r="B389" s="2" t="str">
        <f>HYPERLINK("https://map.kakao.com/?q=인천광역시%20남동구%20만수동%20956-6","지도")</f>
        <v>지도</v>
      </c>
      <c r="C389" s="2" t="s">
        <v>357</v>
      </c>
      <c r="D389" s="2">
        <v>75</v>
      </c>
      <c r="E389" s="2">
        <v>8000</v>
      </c>
      <c r="F389" s="2">
        <v>800</v>
      </c>
      <c r="G389" s="2">
        <v>0</v>
      </c>
      <c r="H389" s="2">
        <v>40</v>
      </c>
      <c r="I389" s="2" t="s">
        <v>1125</v>
      </c>
    </row>
    <row r="390" spans="1:9" ht="30" hidden="1" customHeight="1">
      <c r="A390" s="2" t="s">
        <v>1126</v>
      </c>
      <c r="B390" s="2" t="str">
        <f>HYPERLINK("https://map.kakao.com/?q=인천광역시%20남동구%20만수동%20916-5","지도")</f>
        <v>지도</v>
      </c>
      <c r="C390" s="2" t="s">
        <v>1127</v>
      </c>
      <c r="D390" s="2">
        <v>67</v>
      </c>
      <c r="E390" s="2">
        <v>5000</v>
      </c>
      <c r="F390" s="2">
        <v>380</v>
      </c>
      <c r="G390" s="2" t="s">
        <v>210</v>
      </c>
      <c r="H390" s="2">
        <v>25</v>
      </c>
      <c r="I390" s="2" t="s">
        <v>1128</v>
      </c>
    </row>
    <row r="391" spans="1:9" ht="30" hidden="1" customHeight="1">
      <c r="A391" s="2" t="s">
        <v>1129</v>
      </c>
      <c r="B391" s="2" t="str">
        <f>HYPERLINK("https://map.kakao.com/?q=경기도%20광명시%20철산동%20439","지도")</f>
        <v>지도</v>
      </c>
      <c r="C391" s="2" t="s">
        <v>1130</v>
      </c>
      <c r="D391" s="2">
        <v>78.8</v>
      </c>
      <c r="E391" s="2">
        <v>8000</v>
      </c>
      <c r="F391" s="2">
        <v>500</v>
      </c>
      <c r="G391" s="2">
        <v>0</v>
      </c>
      <c r="H391" s="2" t="s">
        <v>210</v>
      </c>
      <c r="I391" s="2" t="s">
        <v>1131</v>
      </c>
    </row>
    <row r="392" spans="1:9" ht="30" hidden="1" customHeight="1">
      <c r="A392" s="2" t="s">
        <v>1132</v>
      </c>
      <c r="B392" s="2" t="str">
        <f>HYPERLINK("https://map.kakao.com/?q=인천서구검단로779","지도")</f>
        <v>지도</v>
      </c>
      <c r="C392" s="2" t="s">
        <v>1133</v>
      </c>
      <c r="D392" s="2">
        <v>70</v>
      </c>
      <c r="E392" s="2">
        <v>5000</v>
      </c>
      <c r="F392" s="2">
        <v>410</v>
      </c>
      <c r="G392" s="2">
        <v>5000</v>
      </c>
      <c r="H392" s="2">
        <v>27</v>
      </c>
      <c r="I392" s="2" t="s">
        <v>1134</v>
      </c>
    </row>
    <row r="393" spans="1:9" ht="30" hidden="1" customHeight="1">
      <c r="A393" s="2" t="s">
        <v>1135</v>
      </c>
      <c r="B393" s="2" t="str">
        <f>HYPERLINK("https://map.kakao.com/?q=경기도%20안산시%20단원구%20선부동%201076-7","지도")</f>
        <v>지도</v>
      </c>
      <c r="C393" s="2" t="s">
        <v>357</v>
      </c>
      <c r="D393" s="2">
        <v>25</v>
      </c>
      <c r="E393" s="2">
        <v>20000</v>
      </c>
      <c r="F393" s="2">
        <v>800</v>
      </c>
      <c r="G393" s="2">
        <v>0</v>
      </c>
      <c r="H393" s="2" t="s">
        <v>210</v>
      </c>
      <c r="I393" s="2" t="s">
        <v>1136</v>
      </c>
    </row>
    <row r="394" spans="1:9" ht="30" hidden="1" customHeight="1">
      <c r="A394" s="2" t="s">
        <v>1137</v>
      </c>
      <c r="B394" s="2" t="str">
        <f>HYPERLINK("https://map.kakao.com/?q=경기도%20시흥시%20정왕동%201737-12","지도")</f>
        <v>지도</v>
      </c>
      <c r="C394" s="2" t="s">
        <v>1138</v>
      </c>
      <c r="D394" s="2">
        <v>29</v>
      </c>
      <c r="E394" s="2">
        <v>4000</v>
      </c>
      <c r="F394" s="2">
        <v>310</v>
      </c>
      <c r="G394" s="2">
        <v>1500</v>
      </c>
      <c r="H394" s="2" t="s">
        <v>210</v>
      </c>
      <c r="I394" s="2" t="s">
        <v>1139</v>
      </c>
    </row>
    <row r="395" spans="1:9" ht="30" hidden="1" customHeight="1">
      <c r="A395" s="2" t="s">
        <v>1140</v>
      </c>
      <c r="B395" s="2" t="str">
        <f>HYPERLINK("https://map.kakao.com/?q=경기도%20안산시%20단원구%20선부동%201076-6","지도")</f>
        <v>지도</v>
      </c>
      <c r="C395" s="2" t="s">
        <v>1141</v>
      </c>
      <c r="D395" s="2">
        <v>28</v>
      </c>
      <c r="E395" s="2">
        <v>15000</v>
      </c>
      <c r="F395" s="2">
        <v>770</v>
      </c>
      <c r="G395" s="2">
        <v>10000</v>
      </c>
      <c r="H395" s="2" t="s">
        <v>210</v>
      </c>
      <c r="I395" s="2" t="s">
        <v>1136</v>
      </c>
    </row>
    <row r="396" spans="1:9" ht="30" hidden="1" customHeight="1">
      <c r="A396" s="2" t="s">
        <v>1142</v>
      </c>
      <c r="B396" s="2" t="str">
        <f>HYPERLINK("https://map.kakao.com/?q=경기도%20안산시%20단원구%20선부동%201082","지도")</f>
        <v>지도</v>
      </c>
      <c r="C396" s="2" t="s">
        <v>1143</v>
      </c>
      <c r="D396" s="2">
        <v>21</v>
      </c>
      <c r="E396" s="2">
        <v>5000</v>
      </c>
      <c r="F396" s="2">
        <v>400</v>
      </c>
      <c r="G396" s="2">
        <v>2000</v>
      </c>
      <c r="H396" s="2" t="s">
        <v>210</v>
      </c>
      <c r="I396" s="2" t="s">
        <v>210</v>
      </c>
    </row>
    <row r="397" spans="1:9" ht="30" hidden="1" customHeight="1">
      <c r="A397" s="2" t="s">
        <v>1142</v>
      </c>
      <c r="B397" s="2" t="str">
        <f>HYPERLINK("https://map.kakao.com/?q=경기도%20안산시%20단원구%20선부동%201082","지도")</f>
        <v>지도</v>
      </c>
      <c r="C397" s="2" t="s">
        <v>1144</v>
      </c>
      <c r="D397" s="2">
        <v>21</v>
      </c>
      <c r="E397" s="2">
        <v>6000</v>
      </c>
      <c r="F397" s="2">
        <v>450</v>
      </c>
      <c r="G397" s="2">
        <v>0</v>
      </c>
      <c r="H397" s="2" t="s">
        <v>210</v>
      </c>
      <c r="I397" s="2" t="s">
        <v>210</v>
      </c>
    </row>
    <row r="398" spans="1:9" ht="30" hidden="1" customHeight="1">
      <c r="A398" s="2" t="s">
        <v>1145</v>
      </c>
      <c r="B398" s="2" t="str">
        <f>HYPERLINK("https://map.kakao.com/?q=경기도%20안산시%20단원구%20고잔동%20706-1","지도")</f>
        <v>지도</v>
      </c>
      <c r="C398" s="2" t="s">
        <v>1146</v>
      </c>
      <c r="D398" s="2">
        <v>43</v>
      </c>
      <c r="E398" s="2">
        <v>9000</v>
      </c>
      <c r="F398" s="2">
        <v>450</v>
      </c>
      <c r="G398" s="2">
        <v>3000</v>
      </c>
      <c r="H398" s="2" t="s">
        <v>210</v>
      </c>
      <c r="I398" s="2" t="s">
        <v>1147</v>
      </c>
    </row>
    <row r="399" spans="1:9" ht="30" hidden="1" customHeight="1">
      <c r="A399" s="2" t="s">
        <v>1148</v>
      </c>
      <c r="B399" s="2" t="str">
        <f>HYPERLINK("https://map.kakao.com/?q=경기도%20안산시%20단원구%20선부동%201076-17","지도")</f>
        <v>지도</v>
      </c>
      <c r="C399" s="2" t="s">
        <v>1149</v>
      </c>
      <c r="D399" s="2">
        <v>30</v>
      </c>
      <c r="E399" s="2">
        <v>5000</v>
      </c>
      <c r="F399" s="2">
        <v>460</v>
      </c>
      <c r="G399" s="2">
        <v>9000</v>
      </c>
      <c r="H399" s="2" t="s">
        <v>210</v>
      </c>
      <c r="I399" s="2" t="s">
        <v>210</v>
      </c>
    </row>
    <row r="400" spans="1:9" ht="30" hidden="1" customHeight="1">
      <c r="A400" s="2" t="s">
        <v>1150</v>
      </c>
      <c r="B400" s="2" t="str">
        <f>HYPERLINK("https://map.kakao.com/?q=경기도%20안산시%20단원구%20선부동%201070-18","지도")</f>
        <v>지도</v>
      </c>
      <c r="C400" s="2" t="s">
        <v>357</v>
      </c>
      <c r="D400" s="2">
        <v>73.44</v>
      </c>
      <c r="E400" s="2">
        <v>10000</v>
      </c>
      <c r="F400" s="2">
        <v>700</v>
      </c>
      <c r="G400" s="2">
        <v>0</v>
      </c>
      <c r="H400" s="2" t="s">
        <v>210</v>
      </c>
      <c r="I400" s="2" t="s">
        <v>1151</v>
      </c>
    </row>
    <row r="401" spans="1:9" ht="30" hidden="1" customHeight="1">
      <c r="A401" s="2" t="s">
        <v>1152</v>
      </c>
      <c r="B401" s="2" t="str">
        <f>HYPERLINK("https://map.kakao.com/?q=경기도%20용인시%20수지구%20죽전동%20548-7","지도")</f>
        <v>지도</v>
      </c>
      <c r="C401" s="2" t="s">
        <v>1153</v>
      </c>
      <c r="D401" s="2">
        <v>40</v>
      </c>
      <c r="E401" s="2">
        <v>5000</v>
      </c>
      <c r="F401" s="2">
        <v>300</v>
      </c>
      <c r="G401" s="2">
        <v>3000</v>
      </c>
      <c r="H401" s="2" t="s">
        <v>210</v>
      </c>
      <c r="I401" s="2" t="s">
        <v>210</v>
      </c>
    </row>
    <row r="402" spans="1:9" ht="30" hidden="1" customHeight="1">
      <c r="A402" s="2" t="s">
        <v>1154</v>
      </c>
      <c r="B402" s="2" t="str">
        <f>HYPERLINK("https://map.kakao.com/?q=인천광역시%20서구%20가좌동%20114-86","지도")</f>
        <v>지도</v>
      </c>
      <c r="C402" s="2" t="s">
        <v>1155</v>
      </c>
      <c r="D402" s="2">
        <v>41</v>
      </c>
      <c r="E402" s="2">
        <v>4000</v>
      </c>
      <c r="F402" s="2">
        <v>270</v>
      </c>
      <c r="G402" s="2">
        <v>4000</v>
      </c>
      <c r="H402" s="2" t="s">
        <v>210</v>
      </c>
      <c r="I402" s="2" t="s">
        <v>1156</v>
      </c>
    </row>
    <row r="403" spans="1:9" ht="30" hidden="1" customHeight="1">
      <c r="A403" s="2" t="s">
        <v>1157</v>
      </c>
      <c r="B403" s="2" t="str">
        <f>HYPERLINK("https://map.kakao.com/?q=경기도%20안산시%20단원구%20선부동%201071-9","지도")</f>
        <v>지도</v>
      </c>
      <c r="C403" s="2" t="s">
        <v>1158</v>
      </c>
      <c r="D403" s="2">
        <v>36.590000000000003</v>
      </c>
      <c r="E403" s="2">
        <v>4000</v>
      </c>
      <c r="F403" s="2">
        <v>250</v>
      </c>
      <c r="G403" s="2">
        <v>4500</v>
      </c>
      <c r="H403" s="2" t="s">
        <v>210</v>
      </c>
      <c r="I403" s="2" t="s">
        <v>210</v>
      </c>
    </row>
    <row r="404" spans="1:9" ht="30" hidden="1" customHeight="1">
      <c r="A404" s="2" t="s">
        <v>1140</v>
      </c>
      <c r="B404" s="15" t="str">
        <f>HYPERLINK("https://map.kakao.com/?q=경기도%20안산시%20단원구%20선부동%201076-6","지도")</f>
        <v>지도</v>
      </c>
      <c r="C404" s="2" t="s">
        <v>1159</v>
      </c>
      <c r="D404" s="2">
        <v>21.2</v>
      </c>
      <c r="E404" s="2">
        <v>5000</v>
      </c>
      <c r="F404" s="2">
        <v>325</v>
      </c>
      <c r="G404" s="2">
        <v>5000</v>
      </c>
      <c r="H404" s="2" t="s">
        <v>210</v>
      </c>
      <c r="I404" s="2" t="s">
        <v>1160</v>
      </c>
    </row>
    <row r="405" spans="1:9" ht="30" hidden="1" customHeight="1">
      <c r="A405" s="2" t="s">
        <v>1161</v>
      </c>
      <c r="B405" s="2" t="str">
        <f>HYPERLINK("https://map.kakao.com/?q=경기도%20시흥시%20은행동%20645-5","지도")</f>
        <v>지도</v>
      </c>
      <c r="C405" s="2" t="s">
        <v>357</v>
      </c>
      <c r="D405" s="2">
        <v>12.4</v>
      </c>
      <c r="E405" s="2">
        <v>3000</v>
      </c>
      <c r="F405" s="2">
        <v>230</v>
      </c>
      <c r="G405" s="2">
        <v>0</v>
      </c>
      <c r="H405" s="2" t="s">
        <v>210</v>
      </c>
      <c r="I405" s="2" t="s">
        <v>210</v>
      </c>
    </row>
    <row r="406" spans="1:9" ht="30" hidden="1" customHeight="1">
      <c r="A406" s="2" t="s">
        <v>1161</v>
      </c>
      <c r="B406" s="2" t="str">
        <f>HYPERLINK("https://map.kakao.com/?q=경기도%20시흥시%20은행동%20645-5","지도")</f>
        <v>지도</v>
      </c>
      <c r="C406" s="2" t="s">
        <v>1162</v>
      </c>
      <c r="D406" s="2">
        <v>22</v>
      </c>
      <c r="E406" s="2">
        <v>3000</v>
      </c>
      <c r="F406" s="2">
        <v>180</v>
      </c>
      <c r="G406" s="2">
        <v>0</v>
      </c>
      <c r="H406" s="2" t="s">
        <v>210</v>
      </c>
      <c r="I406" s="2" t="s">
        <v>210</v>
      </c>
    </row>
    <row r="407" spans="1:9" ht="30" hidden="1" customHeight="1">
      <c r="A407" s="2" t="s">
        <v>1161</v>
      </c>
      <c r="B407" s="2" t="str">
        <f>HYPERLINK("https://map.kakao.com/?q=경기도%20시흥시%20은행동%20645-5","지도")</f>
        <v>지도</v>
      </c>
      <c r="C407" s="2" t="s">
        <v>1162</v>
      </c>
      <c r="D407" s="2">
        <v>24.8</v>
      </c>
      <c r="E407" s="2">
        <v>3000</v>
      </c>
      <c r="F407" s="2">
        <v>200</v>
      </c>
      <c r="G407" s="2">
        <v>0</v>
      </c>
      <c r="H407" s="2" t="s">
        <v>210</v>
      </c>
      <c r="I407" s="2" t="s">
        <v>210</v>
      </c>
    </row>
    <row r="408" spans="1:9" ht="30" hidden="1" customHeight="1">
      <c r="A408" s="2" t="s">
        <v>1163</v>
      </c>
      <c r="B408" s="2" t="str">
        <f>HYPERLINK("https://map.kakao.com/?q=경기도%20시흥시%20은행동%20646-9","지도")</f>
        <v>지도</v>
      </c>
      <c r="C408" s="2" t="s">
        <v>1164</v>
      </c>
      <c r="D408" s="2">
        <v>29.5</v>
      </c>
      <c r="E408" s="2">
        <v>10000</v>
      </c>
      <c r="F408" s="2">
        <v>641</v>
      </c>
      <c r="G408" s="2">
        <v>4000</v>
      </c>
      <c r="H408" s="2" t="s">
        <v>210</v>
      </c>
      <c r="I408" s="2" t="s">
        <v>210</v>
      </c>
    </row>
    <row r="409" spans="1:9" ht="30" hidden="1" customHeight="1">
      <c r="A409" s="2" t="s">
        <v>1165</v>
      </c>
      <c r="B409" s="2" t="str">
        <f>HYPERLINK("https://map.kakao.com/?q=경기도%20시흥시%20은행동%20646-10","지도")</f>
        <v>지도</v>
      </c>
      <c r="C409" s="2" t="s">
        <v>357</v>
      </c>
      <c r="D409" s="2">
        <v>24.73</v>
      </c>
      <c r="E409" s="2">
        <v>10000</v>
      </c>
      <c r="F409" s="2">
        <v>600</v>
      </c>
      <c r="G409" s="2">
        <v>0</v>
      </c>
      <c r="H409" s="2" t="s">
        <v>210</v>
      </c>
      <c r="I409" s="2" t="s">
        <v>1166</v>
      </c>
    </row>
    <row r="410" spans="1:9" ht="30" hidden="1" customHeight="1">
      <c r="A410" s="2" t="s">
        <v>1165</v>
      </c>
      <c r="B410" s="2" t="str">
        <f>HYPERLINK("https://map.kakao.com/?q=경기도%20시흥시%20은행동%20646-10","지도")</f>
        <v>지도</v>
      </c>
      <c r="C410" s="2" t="s">
        <v>357</v>
      </c>
      <c r="D410" s="2">
        <v>14.5</v>
      </c>
      <c r="E410" s="2">
        <v>3000</v>
      </c>
      <c r="F410" s="2">
        <v>250</v>
      </c>
      <c r="G410" s="2">
        <v>0</v>
      </c>
      <c r="H410" s="2" t="s">
        <v>210</v>
      </c>
      <c r="I410" s="2" t="s">
        <v>210</v>
      </c>
    </row>
    <row r="411" spans="1:9" ht="30" hidden="1" customHeight="1">
      <c r="A411" s="2" t="s">
        <v>1167</v>
      </c>
      <c r="B411" s="2" t="str">
        <f>HYPERLINK("https://map.kakao.com/?q=경기도%20시흥시%20은행동%20646-4","지도")</f>
        <v>지도</v>
      </c>
      <c r="C411" s="2" t="s">
        <v>1168</v>
      </c>
      <c r="D411" s="2">
        <v>32</v>
      </c>
      <c r="E411" s="2">
        <v>10000</v>
      </c>
      <c r="F411" s="2">
        <v>650</v>
      </c>
      <c r="G411" s="2">
        <v>0</v>
      </c>
      <c r="H411" s="2" t="s">
        <v>210</v>
      </c>
      <c r="I411" s="2" t="s">
        <v>1169</v>
      </c>
    </row>
    <row r="412" spans="1:9" ht="30" hidden="1" customHeight="1">
      <c r="A412" s="2" t="s">
        <v>1167</v>
      </c>
      <c r="B412" s="2" t="str">
        <f>HYPERLINK("https://map.kakao.com/?q=경기도%20시흥시%20은행동%20646-4","지도")</f>
        <v>지도</v>
      </c>
      <c r="C412" s="2" t="s">
        <v>1170</v>
      </c>
      <c r="D412" s="2">
        <v>30</v>
      </c>
      <c r="E412" s="2">
        <v>5000</v>
      </c>
      <c r="F412" s="2">
        <v>450</v>
      </c>
      <c r="G412" s="2">
        <v>0</v>
      </c>
      <c r="H412" s="2" t="s">
        <v>210</v>
      </c>
      <c r="I412" s="2" t="s">
        <v>1171</v>
      </c>
    </row>
    <row r="413" spans="1:9" ht="30" hidden="1" customHeight="1">
      <c r="A413" s="2" t="s">
        <v>1172</v>
      </c>
      <c r="B413" s="2" t="str">
        <f>HYPERLINK("https://map.kakao.com/?q=경기도%20수원시%20권선구%20탑동%20620-1","지도")</f>
        <v>지도</v>
      </c>
      <c r="C413" s="2" t="s">
        <v>1173</v>
      </c>
      <c r="D413" s="2">
        <v>34</v>
      </c>
      <c r="E413" s="2">
        <v>2000</v>
      </c>
      <c r="F413" s="2">
        <v>260</v>
      </c>
      <c r="G413" s="2">
        <v>3000</v>
      </c>
      <c r="H413" s="2" t="s">
        <v>210</v>
      </c>
      <c r="I413" s="2" t="s">
        <v>210</v>
      </c>
    </row>
    <row r="414" spans="1:9" ht="30" hidden="1" customHeight="1">
      <c r="A414" s="2" t="s">
        <v>1174</v>
      </c>
      <c r="B414" s="15" t="str">
        <f>HYPERLINK("https://map.kakao.com/?q=경기도%20시흥시%20배곧동%20194-2","지도")</f>
        <v>지도</v>
      </c>
      <c r="C414" s="2" t="s">
        <v>1175</v>
      </c>
      <c r="D414" s="2">
        <v>28</v>
      </c>
      <c r="E414" s="2">
        <v>8000</v>
      </c>
      <c r="F414" s="2">
        <v>550</v>
      </c>
      <c r="G414" s="2">
        <v>0</v>
      </c>
      <c r="H414" s="2" t="s">
        <v>210</v>
      </c>
      <c r="I414" s="2" t="s">
        <v>1176</v>
      </c>
    </row>
    <row r="417" spans="1:9" ht="30" hidden="1" customHeight="1">
      <c r="A417" s="13" t="s">
        <v>0</v>
      </c>
      <c r="B417" s="13" t="s">
        <v>976</v>
      </c>
      <c r="C417" s="13" t="s">
        <v>1031</v>
      </c>
      <c r="D417" s="13" t="s">
        <v>3</v>
      </c>
      <c r="E417" s="13" t="s">
        <v>4</v>
      </c>
      <c r="F417" s="13" t="s">
        <v>5</v>
      </c>
      <c r="G417" s="13" t="s">
        <v>6</v>
      </c>
      <c r="H417" s="13" t="s">
        <v>7</v>
      </c>
      <c r="I417" s="13" t="s">
        <v>8</v>
      </c>
    </row>
    <row r="418" spans="1:9" ht="30" hidden="1" customHeight="1">
      <c r="A418" s="12" t="s">
        <v>1177</v>
      </c>
      <c r="B418" s="14" t="s">
        <v>925</v>
      </c>
      <c r="C418" s="12" t="s">
        <v>563</v>
      </c>
      <c r="D418" s="12" t="s">
        <v>943</v>
      </c>
      <c r="E418" s="16">
        <v>12000</v>
      </c>
      <c r="F418" s="12">
        <v>500</v>
      </c>
      <c r="G418" s="12">
        <v>0</v>
      </c>
      <c r="H418" s="12" t="s">
        <v>210</v>
      </c>
      <c r="I418" s="12" t="s">
        <v>210</v>
      </c>
    </row>
    <row r="419" spans="1:9" ht="30" hidden="1" customHeight="1">
      <c r="A419" s="12" t="s">
        <v>1178</v>
      </c>
      <c r="B419" s="14" t="s">
        <v>925</v>
      </c>
      <c r="C419" s="12" t="s">
        <v>1179</v>
      </c>
      <c r="D419" s="12" t="s">
        <v>1180</v>
      </c>
      <c r="E419" s="16">
        <v>3000</v>
      </c>
      <c r="F419" s="12">
        <v>260</v>
      </c>
      <c r="G419" s="16">
        <v>5000</v>
      </c>
      <c r="H419" s="12" t="s">
        <v>210</v>
      </c>
      <c r="I419" s="12" t="s">
        <v>1181</v>
      </c>
    </row>
    <row r="420" spans="1:9" ht="30" hidden="1" customHeight="1">
      <c r="A420" s="12" t="s">
        <v>1182</v>
      </c>
      <c r="B420" s="14" t="s">
        <v>925</v>
      </c>
      <c r="C420" s="12" t="s">
        <v>1036</v>
      </c>
      <c r="D420" s="12" t="s">
        <v>1183</v>
      </c>
      <c r="E420" s="16">
        <v>6000</v>
      </c>
      <c r="F420" s="12">
        <v>380</v>
      </c>
      <c r="G420" s="12">
        <v>0</v>
      </c>
      <c r="H420" s="12" t="s">
        <v>210</v>
      </c>
      <c r="I420" s="12" t="s">
        <v>1184</v>
      </c>
    </row>
    <row r="421" spans="1:9" ht="30" hidden="1" customHeight="1">
      <c r="A421" s="12" t="s">
        <v>1182</v>
      </c>
      <c r="B421" s="14" t="s">
        <v>925</v>
      </c>
      <c r="C421" s="12" t="s">
        <v>1036</v>
      </c>
      <c r="D421" s="12" t="s">
        <v>929</v>
      </c>
      <c r="E421" s="16">
        <v>3000</v>
      </c>
      <c r="F421" s="12">
        <v>300</v>
      </c>
      <c r="G421" s="12">
        <v>0</v>
      </c>
      <c r="H421" s="12" t="s">
        <v>210</v>
      </c>
      <c r="I421" s="12" t="s">
        <v>210</v>
      </c>
    </row>
    <row r="422" spans="1:9" ht="30" hidden="1" customHeight="1">
      <c r="A422" s="12" t="s">
        <v>1182</v>
      </c>
      <c r="B422" s="14" t="s">
        <v>925</v>
      </c>
      <c r="C422" s="12" t="s">
        <v>1036</v>
      </c>
      <c r="D422" s="12" t="s">
        <v>1185</v>
      </c>
      <c r="E422" s="16">
        <v>10000</v>
      </c>
      <c r="F422" s="12">
        <v>650</v>
      </c>
      <c r="G422" s="12">
        <v>0</v>
      </c>
      <c r="H422" s="12" t="s">
        <v>210</v>
      </c>
      <c r="I422" s="12" t="s">
        <v>210</v>
      </c>
    </row>
    <row r="423" spans="1:9" ht="30" hidden="1" customHeight="1">
      <c r="A423" s="12" t="s">
        <v>1186</v>
      </c>
      <c r="B423" s="14" t="s">
        <v>925</v>
      </c>
      <c r="C423" s="12" t="s">
        <v>1036</v>
      </c>
      <c r="D423" s="12" t="s">
        <v>1187</v>
      </c>
      <c r="E423" s="16">
        <v>4000</v>
      </c>
      <c r="F423" s="12">
        <v>250</v>
      </c>
      <c r="G423" s="12">
        <v>0</v>
      </c>
      <c r="H423" s="12" t="s">
        <v>210</v>
      </c>
      <c r="I423" s="12" t="s">
        <v>1188</v>
      </c>
    </row>
    <row r="424" spans="1:9" ht="30" hidden="1" customHeight="1">
      <c r="A424" s="12" t="s">
        <v>1189</v>
      </c>
      <c r="B424" s="14" t="s">
        <v>925</v>
      </c>
      <c r="C424" s="12" t="s">
        <v>1190</v>
      </c>
      <c r="D424" s="12" t="s">
        <v>1185</v>
      </c>
      <c r="E424" s="16">
        <v>5000</v>
      </c>
      <c r="F424" s="12">
        <v>350</v>
      </c>
      <c r="G424" s="16">
        <v>5000</v>
      </c>
      <c r="H424" s="12" t="s">
        <v>210</v>
      </c>
      <c r="I424" s="12" t="s">
        <v>1191</v>
      </c>
    </row>
    <row r="425" spans="1:9" ht="30" hidden="1" customHeight="1">
      <c r="A425" s="12" t="s">
        <v>1192</v>
      </c>
      <c r="B425" s="14" t="s">
        <v>925</v>
      </c>
      <c r="C425" s="12" t="s">
        <v>1036</v>
      </c>
      <c r="D425" s="12" t="s">
        <v>943</v>
      </c>
      <c r="E425" s="16">
        <v>10000</v>
      </c>
      <c r="F425" s="12">
        <v>450</v>
      </c>
      <c r="G425" s="16">
        <v>13000</v>
      </c>
      <c r="H425" s="12" t="s">
        <v>210</v>
      </c>
      <c r="I425" s="12" t="s">
        <v>1193</v>
      </c>
    </row>
    <row r="426" spans="1:9" ht="30" hidden="1" customHeight="1">
      <c r="A426" s="12" t="s">
        <v>1194</v>
      </c>
      <c r="B426" s="14" t="s">
        <v>925</v>
      </c>
      <c r="C426" s="12" t="s">
        <v>1195</v>
      </c>
      <c r="D426" s="12" t="s">
        <v>1196</v>
      </c>
      <c r="E426" s="16">
        <v>7000</v>
      </c>
      <c r="F426" s="12">
        <v>490</v>
      </c>
      <c r="G426" s="16">
        <v>6000</v>
      </c>
      <c r="H426" s="12" t="s">
        <v>210</v>
      </c>
      <c r="I426" s="12" t="s">
        <v>1197</v>
      </c>
    </row>
    <row r="427" spans="1:9" ht="30" hidden="1" customHeight="1">
      <c r="A427" s="12" t="s">
        <v>1198</v>
      </c>
      <c r="B427" s="14" t="s">
        <v>925</v>
      </c>
      <c r="C427" s="12" t="s">
        <v>1036</v>
      </c>
      <c r="D427" s="12" t="s">
        <v>1026</v>
      </c>
      <c r="E427" s="16">
        <v>10000</v>
      </c>
      <c r="F427" s="12">
        <v>540</v>
      </c>
      <c r="G427" s="12">
        <v>0</v>
      </c>
      <c r="H427" s="12" t="s">
        <v>210</v>
      </c>
      <c r="I427" s="12" t="s">
        <v>1199</v>
      </c>
    </row>
    <row r="428" spans="1:9" ht="30" hidden="1" customHeight="1">
      <c r="A428" s="12" t="s">
        <v>1200</v>
      </c>
      <c r="B428" s="14" t="s">
        <v>925</v>
      </c>
      <c r="C428" s="12" t="s">
        <v>1047</v>
      </c>
      <c r="D428" s="12" t="s">
        <v>1201</v>
      </c>
      <c r="E428" s="16">
        <v>20000</v>
      </c>
      <c r="F428" s="16">
        <v>1020</v>
      </c>
      <c r="G428" s="12">
        <v>0</v>
      </c>
      <c r="H428" s="12" t="s">
        <v>210</v>
      </c>
      <c r="I428" s="12" t="s">
        <v>210</v>
      </c>
    </row>
    <row r="429" spans="1:9" ht="30" hidden="1" customHeight="1">
      <c r="A429" s="12" t="s">
        <v>1186</v>
      </c>
      <c r="B429" s="14" t="s">
        <v>925</v>
      </c>
      <c r="C429" s="12" t="s">
        <v>1047</v>
      </c>
      <c r="D429" s="12" t="s">
        <v>1202</v>
      </c>
      <c r="E429" s="16">
        <v>10000</v>
      </c>
      <c r="F429" s="12">
        <v>600</v>
      </c>
      <c r="G429" s="12">
        <v>0</v>
      </c>
      <c r="H429" s="12" t="s">
        <v>210</v>
      </c>
      <c r="I429" s="12" t="s">
        <v>210</v>
      </c>
    </row>
    <row r="430" spans="1:9" ht="30" hidden="1" customHeight="1">
      <c r="A430" s="12" t="s">
        <v>1186</v>
      </c>
      <c r="B430" s="14" t="s">
        <v>925</v>
      </c>
      <c r="C430" s="12" t="s">
        <v>1047</v>
      </c>
      <c r="D430" s="12" t="s">
        <v>1082</v>
      </c>
      <c r="E430" s="16">
        <v>10000</v>
      </c>
      <c r="F430" s="12">
        <v>300</v>
      </c>
      <c r="G430" s="12">
        <v>0</v>
      </c>
      <c r="H430" s="12" t="s">
        <v>210</v>
      </c>
      <c r="I430" s="12" t="s">
        <v>210</v>
      </c>
    </row>
    <row r="431" spans="1:9" ht="30" hidden="1" customHeight="1">
      <c r="A431" s="12" t="s">
        <v>1242</v>
      </c>
      <c r="B431" s="14" t="s">
        <v>925</v>
      </c>
      <c r="C431" s="12" t="s">
        <v>1203</v>
      </c>
      <c r="D431" s="12" t="s">
        <v>1204</v>
      </c>
      <c r="E431" s="16">
        <v>10000</v>
      </c>
      <c r="F431" s="16">
        <v>1200</v>
      </c>
      <c r="G431" s="16">
        <v>20000</v>
      </c>
      <c r="H431" s="12" t="s">
        <v>210</v>
      </c>
      <c r="I431" s="12" t="s">
        <v>1205</v>
      </c>
    </row>
    <row r="432" spans="1:9" ht="30" hidden="1" customHeight="1">
      <c r="A432" s="12" t="s">
        <v>1206</v>
      </c>
      <c r="B432" s="14" t="s">
        <v>925</v>
      </c>
      <c r="C432" s="12" t="s">
        <v>1207</v>
      </c>
      <c r="D432" s="12" t="s">
        <v>1001</v>
      </c>
      <c r="E432" s="16">
        <v>10000</v>
      </c>
      <c r="F432" s="12">
        <v>450</v>
      </c>
      <c r="G432" s="16">
        <v>13000</v>
      </c>
      <c r="H432" s="12" t="s">
        <v>210</v>
      </c>
      <c r="I432" s="12" t="s">
        <v>1208</v>
      </c>
    </row>
    <row r="433" spans="1:9" ht="30" hidden="1" customHeight="1">
      <c r="A433" s="12" t="s">
        <v>1209</v>
      </c>
      <c r="B433" s="14" t="s">
        <v>925</v>
      </c>
      <c r="C433" s="12" t="s">
        <v>1210</v>
      </c>
      <c r="D433" s="12" t="s">
        <v>1059</v>
      </c>
      <c r="E433" s="16">
        <v>3000</v>
      </c>
      <c r="F433" s="12">
        <v>420</v>
      </c>
      <c r="G433" s="16">
        <v>4000</v>
      </c>
      <c r="H433" s="12">
        <v>0</v>
      </c>
      <c r="I433" s="12" t="s">
        <v>1211</v>
      </c>
    </row>
    <row r="434" spans="1:9" ht="30" hidden="1" customHeight="1">
      <c r="A434" s="12" t="s">
        <v>1212</v>
      </c>
      <c r="B434" s="14" t="s">
        <v>925</v>
      </c>
      <c r="C434" s="12" t="s">
        <v>1213</v>
      </c>
      <c r="D434" s="12" t="s">
        <v>1214</v>
      </c>
      <c r="E434" s="16">
        <v>5000</v>
      </c>
      <c r="F434" s="12">
        <v>350</v>
      </c>
      <c r="G434" s="12">
        <v>0</v>
      </c>
      <c r="H434" s="12" t="s">
        <v>210</v>
      </c>
      <c r="I434" s="12" t="s">
        <v>1215</v>
      </c>
    </row>
    <row r="435" spans="1:9" ht="30" hidden="1" customHeight="1">
      <c r="A435" s="12" t="s">
        <v>1216</v>
      </c>
      <c r="B435" s="14" t="s">
        <v>925</v>
      </c>
      <c r="C435" s="12" t="s">
        <v>1217</v>
      </c>
      <c r="D435" s="12" t="s">
        <v>1218</v>
      </c>
      <c r="E435" s="16">
        <v>15000</v>
      </c>
      <c r="F435" s="12">
        <v>780</v>
      </c>
      <c r="G435" s="16">
        <v>13000</v>
      </c>
      <c r="H435" s="12" t="s">
        <v>210</v>
      </c>
      <c r="I435" s="12" t="s">
        <v>1219</v>
      </c>
    </row>
    <row r="436" spans="1:9" ht="30" hidden="1" customHeight="1">
      <c r="A436" s="12" t="s">
        <v>1220</v>
      </c>
      <c r="B436" s="14" t="s">
        <v>925</v>
      </c>
      <c r="C436" s="12" t="s">
        <v>1221</v>
      </c>
      <c r="D436" s="12" t="s">
        <v>1222</v>
      </c>
      <c r="E436" s="16">
        <v>7000</v>
      </c>
      <c r="F436" s="12">
        <v>380</v>
      </c>
      <c r="G436" s="16">
        <v>13000</v>
      </c>
      <c r="H436" s="12" t="s">
        <v>210</v>
      </c>
      <c r="I436" s="12" t="s">
        <v>1223</v>
      </c>
    </row>
    <row r="437" spans="1:9" ht="30" hidden="1" customHeight="1">
      <c r="A437" s="12" t="s">
        <v>1224</v>
      </c>
      <c r="B437" s="14" t="s">
        <v>925</v>
      </c>
      <c r="C437" s="12" t="s">
        <v>563</v>
      </c>
      <c r="D437" s="12" t="s">
        <v>929</v>
      </c>
      <c r="E437" s="16">
        <v>5000</v>
      </c>
      <c r="F437" s="12">
        <v>250</v>
      </c>
      <c r="G437" s="12">
        <v>0</v>
      </c>
      <c r="H437" s="12" t="s">
        <v>210</v>
      </c>
      <c r="I437" s="12" t="s">
        <v>1225</v>
      </c>
    </row>
    <row r="438" spans="1:9" ht="30" hidden="1" customHeight="1">
      <c r="A438" s="12" t="s">
        <v>1224</v>
      </c>
      <c r="B438" s="14" t="s">
        <v>925</v>
      </c>
      <c r="C438" s="12" t="s">
        <v>563</v>
      </c>
      <c r="D438" s="12" t="s">
        <v>981</v>
      </c>
      <c r="E438" s="16">
        <v>10000</v>
      </c>
      <c r="F438" s="12">
        <v>500</v>
      </c>
      <c r="G438" s="12">
        <v>0</v>
      </c>
      <c r="H438" s="12" t="s">
        <v>210</v>
      </c>
      <c r="I438" s="12" t="s">
        <v>1225</v>
      </c>
    </row>
    <row r="439" spans="1:9" ht="30" hidden="1" customHeight="1">
      <c r="A439" s="12" t="s">
        <v>1226</v>
      </c>
      <c r="B439" s="14" t="s">
        <v>925</v>
      </c>
      <c r="C439" s="12" t="s">
        <v>1227</v>
      </c>
      <c r="D439" s="12" t="s">
        <v>1228</v>
      </c>
      <c r="E439" s="16">
        <v>4000</v>
      </c>
      <c r="F439" s="12">
        <v>378</v>
      </c>
      <c r="G439" s="12">
        <v>0</v>
      </c>
      <c r="H439" s="12">
        <v>30</v>
      </c>
      <c r="I439" s="12" t="s">
        <v>1229</v>
      </c>
    </row>
    <row r="440" spans="1:9" ht="30" hidden="1" customHeight="1">
      <c r="A440" s="12" t="s">
        <v>1230</v>
      </c>
      <c r="B440" s="14" t="s">
        <v>925</v>
      </c>
      <c r="C440" s="12" t="s">
        <v>1231</v>
      </c>
      <c r="D440" s="12" t="s">
        <v>1082</v>
      </c>
      <c r="E440" s="16">
        <v>6000</v>
      </c>
      <c r="F440" s="12">
        <v>350</v>
      </c>
      <c r="G440" s="12">
        <v>0</v>
      </c>
      <c r="H440" s="12" t="s">
        <v>210</v>
      </c>
      <c r="I440" s="12" t="s">
        <v>210</v>
      </c>
    </row>
    <row r="441" spans="1:9" ht="30" hidden="1" customHeight="1">
      <c r="A441" s="12" t="s">
        <v>1232</v>
      </c>
      <c r="B441" s="14" t="s">
        <v>925</v>
      </c>
      <c r="C441" s="12" t="s">
        <v>1233</v>
      </c>
      <c r="D441" s="12" t="s">
        <v>943</v>
      </c>
      <c r="E441" s="16">
        <v>3000</v>
      </c>
      <c r="F441" s="12">
        <v>236</v>
      </c>
      <c r="G441" s="16">
        <v>3000</v>
      </c>
      <c r="H441" s="12" t="s">
        <v>210</v>
      </c>
      <c r="I441" s="12" t="s">
        <v>210</v>
      </c>
    </row>
    <row r="442" spans="1:9" ht="30" hidden="1" customHeight="1">
      <c r="A442" s="12" t="s">
        <v>1234</v>
      </c>
      <c r="B442" s="14" t="s">
        <v>925</v>
      </c>
      <c r="C442" s="12" t="s">
        <v>563</v>
      </c>
      <c r="D442" s="12" t="s">
        <v>1183</v>
      </c>
      <c r="E442" s="16">
        <v>5000</v>
      </c>
      <c r="F442" s="12">
        <v>300</v>
      </c>
      <c r="G442" s="12">
        <v>0</v>
      </c>
      <c r="H442" s="12" t="s">
        <v>210</v>
      </c>
      <c r="I442" s="12" t="s">
        <v>1235</v>
      </c>
    </row>
    <row r="443" spans="1:9" ht="30" hidden="1" customHeight="1">
      <c r="A443" s="12" t="s">
        <v>1236</v>
      </c>
      <c r="B443" s="14" t="s">
        <v>925</v>
      </c>
      <c r="C443" s="12" t="s">
        <v>1237</v>
      </c>
      <c r="D443" s="12" t="s">
        <v>1238</v>
      </c>
      <c r="E443" s="16">
        <v>4000</v>
      </c>
      <c r="F443" s="12">
        <v>550</v>
      </c>
      <c r="G443" s="16">
        <v>15000</v>
      </c>
      <c r="H443" s="12" t="s">
        <v>210</v>
      </c>
      <c r="I443" s="12" t="s">
        <v>1239</v>
      </c>
    </row>
    <row r="444" spans="1:9" ht="30" hidden="1" customHeight="1">
      <c r="A444" s="12" t="s">
        <v>1240</v>
      </c>
      <c r="B444" s="14" t="s">
        <v>925</v>
      </c>
      <c r="C444" s="12" t="s">
        <v>1036</v>
      </c>
      <c r="D444" s="12" t="s">
        <v>1185</v>
      </c>
      <c r="E444" s="16">
        <v>9500</v>
      </c>
      <c r="F444" s="12">
        <v>925</v>
      </c>
      <c r="G444" s="12">
        <v>0</v>
      </c>
      <c r="H444" s="12" t="s">
        <v>210</v>
      </c>
      <c r="I444" s="12" t="s">
        <v>1241</v>
      </c>
    </row>
    <row r="445" spans="1:9" ht="30" hidden="1" customHeight="1">
      <c r="A445" s="12"/>
      <c r="B445" s="14"/>
      <c r="C445" s="12"/>
      <c r="D445" s="12"/>
      <c r="E445" s="16"/>
      <c r="F445" s="12"/>
      <c r="G445" s="12"/>
      <c r="H445" s="12"/>
      <c r="I445" s="12"/>
    </row>
    <row r="446" spans="1:9" ht="30" hidden="1" customHeight="1">
      <c r="A446" s="2" t="s">
        <v>1272</v>
      </c>
    </row>
    <row r="447" spans="1:9" ht="30" hidden="1" customHeight="1">
      <c r="A447" s="12" t="s">
        <v>1243</v>
      </c>
      <c r="B447" s="14" t="s">
        <v>925</v>
      </c>
      <c r="C447" s="12" t="s">
        <v>1244</v>
      </c>
      <c r="D447" s="12" t="s">
        <v>1245</v>
      </c>
      <c r="E447" s="16">
        <v>10000</v>
      </c>
      <c r="F447" s="12">
        <v>600</v>
      </c>
      <c r="G447" s="12">
        <v>0</v>
      </c>
      <c r="H447" s="12" t="s">
        <v>210</v>
      </c>
      <c r="I447" s="12" t="s">
        <v>1246</v>
      </c>
    </row>
    <row r="448" spans="1:9" ht="30" hidden="1" customHeight="1">
      <c r="A448" s="12" t="s">
        <v>1247</v>
      </c>
      <c r="B448" s="14" t="s">
        <v>925</v>
      </c>
      <c r="C448" s="12" t="s">
        <v>1248</v>
      </c>
      <c r="D448" s="12" t="s">
        <v>943</v>
      </c>
      <c r="E448" s="16">
        <v>7000</v>
      </c>
      <c r="F448" s="12">
        <v>500</v>
      </c>
      <c r="G448" s="16">
        <v>4000</v>
      </c>
      <c r="H448" s="12" t="s">
        <v>210</v>
      </c>
      <c r="I448" s="12" t="s">
        <v>210</v>
      </c>
    </row>
    <row r="449" spans="1:9" ht="30" hidden="1" customHeight="1">
      <c r="A449" s="12" t="s">
        <v>1249</v>
      </c>
      <c r="B449" s="14" t="s">
        <v>925</v>
      </c>
      <c r="C449" s="12" t="s">
        <v>563</v>
      </c>
      <c r="D449" s="12" t="s">
        <v>1001</v>
      </c>
      <c r="E449" s="16">
        <v>3000</v>
      </c>
      <c r="F449" s="12">
        <v>200</v>
      </c>
      <c r="G449" s="12">
        <v>0</v>
      </c>
      <c r="H449" s="12" t="s">
        <v>210</v>
      </c>
      <c r="I449" s="12" t="s">
        <v>210</v>
      </c>
    </row>
    <row r="450" spans="1:9" ht="30" hidden="1" customHeight="1">
      <c r="A450" s="12" t="s">
        <v>1250</v>
      </c>
      <c r="B450" s="14" t="s">
        <v>925</v>
      </c>
      <c r="C450" s="12" t="s">
        <v>1251</v>
      </c>
      <c r="D450" s="12" t="s">
        <v>943</v>
      </c>
      <c r="E450" s="16">
        <v>3000</v>
      </c>
      <c r="F450" s="12">
        <v>260</v>
      </c>
      <c r="G450" s="16">
        <v>3000</v>
      </c>
      <c r="H450" s="12" t="s">
        <v>210</v>
      </c>
      <c r="I450" s="12" t="s">
        <v>210</v>
      </c>
    </row>
    <row r="451" spans="1:9" ht="30" hidden="1" customHeight="1">
      <c r="A451" s="12" t="s">
        <v>1252</v>
      </c>
      <c r="B451" s="14" t="s">
        <v>925</v>
      </c>
      <c r="C451" s="12" t="s">
        <v>1253</v>
      </c>
      <c r="D451" s="12" t="s">
        <v>1085</v>
      </c>
      <c r="E451" s="16">
        <v>6000</v>
      </c>
      <c r="F451" s="12">
        <v>320</v>
      </c>
      <c r="G451" s="16">
        <v>7000</v>
      </c>
      <c r="H451" s="12" t="s">
        <v>210</v>
      </c>
      <c r="I451" s="12" t="s">
        <v>210</v>
      </c>
    </row>
    <row r="452" spans="1:9" s="24" customFormat="1" ht="30" customHeight="1">
      <c r="A452" s="20" t="s">
        <v>1254</v>
      </c>
      <c r="B452" s="18" t="str">
        <f t="shared" ref="B452" si="2">HYPERLINK("https://map.naver.com/v5/search/" &amp; A452, "지도")</f>
        <v>지도</v>
      </c>
      <c r="C452" s="20" t="s">
        <v>1255</v>
      </c>
      <c r="D452" s="20" t="s">
        <v>929</v>
      </c>
      <c r="E452" s="22">
        <v>2000</v>
      </c>
      <c r="F452" s="20">
        <v>170</v>
      </c>
      <c r="G452" s="22">
        <v>6500</v>
      </c>
      <c r="H452" s="20" t="s">
        <v>210</v>
      </c>
      <c r="I452" s="20" t="s">
        <v>210</v>
      </c>
    </row>
    <row r="453" spans="1:9" ht="30" hidden="1" customHeight="1">
      <c r="A453" s="12" t="s">
        <v>1256</v>
      </c>
      <c r="B453" s="14" t="s">
        <v>925</v>
      </c>
      <c r="C453" s="12" t="s">
        <v>1233</v>
      </c>
      <c r="D453" s="12" t="s">
        <v>1185</v>
      </c>
      <c r="E453" s="16">
        <v>5000</v>
      </c>
      <c r="F453" s="12">
        <v>400</v>
      </c>
      <c r="G453" s="16">
        <v>5000</v>
      </c>
      <c r="H453" s="12" t="s">
        <v>210</v>
      </c>
      <c r="I453" s="12" t="s">
        <v>210</v>
      </c>
    </row>
    <row r="454" spans="1:9" ht="30" hidden="1" customHeight="1">
      <c r="A454" s="12" t="s">
        <v>1257</v>
      </c>
      <c r="B454" s="14" t="s">
        <v>925</v>
      </c>
      <c r="C454" s="12" t="s">
        <v>563</v>
      </c>
      <c r="D454" s="12" t="s">
        <v>1029</v>
      </c>
      <c r="E454" s="16">
        <v>10000</v>
      </c>
      <c r="F454" s="12">
        <v>600</v>
      </c>
      <c r="G454" s="12">
        <v>0</v>
      </c>
      <c r="H454" s="12" t="s">
        <v>210</v>
      </c>
      <c r="I454" s="12" t="s">
        <v>1258</v>
      </c>
    </row>
    <row r="455" spans="1:9" ht="30" hidden="1" customHeight="1">
      <c r="A455" s="12" t="s">
        <v>1259</v>
      </c>
      <c r="B455" s="14" t="s">
        <v>925</v>
      </c>
      <c r="C455" s="12" t="s">
        <v>1260</v>
      </c>
      <c r="D455" s="12" t="s">
        <v>1059</v>
      </c>
      <c r="E455" s="16">
        <v>10000</v>
      </c>
      <c r="F455" s="12">
        <v>950</v>
      </c>
      <c r="G455" s="16">
        <v>23000</v>
      </c>
      <c r="H455" s="12" t="s">
        <v>210</v>
      </c>
      <c r="I455" s="12" t="s">
        <v>1261</v>
      </c>
    </row>
    <row r="456" spans="1:9" ht="30" hidden="1" customHeight="1">
      <c r="A456" s="12" t="s">
        <v>1262</v>
      </c>
      <c r="B456" s="14" t="s">
        <v>925</v>
      </c>
      <c r="C456" s="12" t="s">
        <v>1263</v>
      </c>
      <c r="D456" s="12" t="s">
        <v>1059</v>
      </c>
      <c r="E456" s="16">
        <v>5000</v>
      </c>
      <c r="F456" s="12">
        <v>500</v>
      </c>
      <c r="G456" s="16">
        <v>6000</v>
      </c>
      <c r="H456" s="12" t="s">
        <v>210</v>
      </c>
      <c r="I456" s="12" t="s">
        <v>1264</v>
      </c>
    </row>
    <row r="457" spans="1:9" ht="30" hidden="1" customHeight="1">
      <c r="A457" s="12" t="s">
        <v>1265</v>
      </c>
      <c r="B457" s="14" t="s">
        <v>925</v>
      </c>
      <c r="C457" s="12" t="s">
        <v>563</v>
      </c>
      <c r="D457" s="12" t="s">
        <v>1115</v>
      </c>
      <c r="E457" s="16">
        <v>10000</v>
      </c>
      <c r="F457" s="12">
        <v>600</v>
      </c>
      <c r="G457" s="12">
        <v>0</v>
      </c>
      <c r="H457" s="12" t="s">
        <v>210</v>
      </c>
      <c r="I457" s="12" t="s">
        <v>1266</v>
      </c>
    </row>
    <row r="458" spans="1:9" ht="30" hidden="1" customHeight="1">
      <c r="A458" s="12" t="s">
        <v>1267</v>
      </c>
      <c r="B458" s="14" t="s">
        <v>925</v>
      </c>
      <c r="C458" s="12" t="s">
        <v>563</v>
      </c>
      <c r="D458" s="12" t="s">
        <v>936</v>
      </c>
      <c r="E458" s="16">
        <v>30000</v>
      </c>
      <c r="F458" s="16">
        <v>1350</v>
      </c>
      <c r="G458" s="12">
        <v>0</v>
      </c>
      <c r="H458" s="12" t="s">
        <v>210</v>
      </c>
      <c r="I458" s="12" t="s">
        <v>1268</v>
      </c>
    </row>
    <row r="459" spans="1:9" ht="30" hidden="1" customHeight="1">
      <c r="A459" s="12" t="s">
        <v>1269</v>
      </c>
      <c r="B459" s="14" t="s">
        <v>925</v>
      </c>
      <c r="C459" s="12" t="s">
        <v>1270</v>
      </c>
      <c r="D459" s="12" t="s">
        <v>1006</v>
      </c>
      <c r="E459" s="16">
        <v>5000</v>
      </c>
      <c r="F459" s="12">
        <v>450</v>
      </c>
      <c r="G459" s="16">
        <v>25000</v>
      </c>
      <c r="H459" s="12" t="s">
        <v>210</v>
      </c>
      <c r="I459" s="12" t="s">
        <v>1271</v>
      </c>
    </row>
    <row r="461" spans="1:9" ht="30" hidden="1" customHeight="1">
      <c r="A461" s="13" t="s">
        <v>0</v>
      </c>
      <c r="B461" s="13" t="s">
        <v>976</v>
      </c>
      <c r="C461" s="13" t="s">
        <v>1031</v>
      </c>
      <c r="D461" s="13" t="s">
        <v>3</v>
      </c>
      <c r="E461" s="13" t="s">
        <v>919</v>
      </c>
      <c r="F461" s="13" t="s">
        <v>920</v>
      </c>
      <c r="G461" s="13" t="s">
        <v>921</v>
      </c>
      <c r="H461" s="13" t="s">
        <v>922</v>
      </c>
      <c r="I461" s="13"/>
    </row>
    <row r="462" spans="1:9" ht="30" hidden="1" customHeight="1">
      <c r="A462" s="12" t="s">
        <v>1295</v>
      </c>
      <c r="B462" s="14" t="s">
        <v>925</v>
      </c>
      <c r="C462" s="12" t="s">
        <v>1296</v>
      </c>
      <c r="D462" s="12" t="s">
        <v>1297</v>
      </c>
      <c r="E462" s="16">
        <v>15000</v>
      </c>
      <c r="F462" s="16">
        <v>1000</v>
      </c>
      <c r="G462" s="12">
        <v>0</v>
      </c>
      <c r="H462" s="12">
        <v>150</v>
      </c>
      <c r="I462" s="12" t="s">
        <v>1298</v>
      </c>
    </row>
    <row r="463" spans="1:9" ht="30" hidden="1" customHeight="1">
      <c r="A463" s="12" t="s">
        <v>1299</v>
      </c>
      <c r="B463" s="14" t="s">
        <v>925</v>
      </c>
      <c r="C463" s="12" t="s">
        <v>1300</v>
      </c>
      <c r="D463" s="12" t="s">
        <v>1301</v>
      </c>
      <c r="E463" s="16">
        <v>30000</v>
      </c>
      <c r="F463" s="16">
        <v>1210</v>
      </c>
      <c r="G463" s="12" t="s">
        <v>210</v>
      </c>
      <c r="H463" s="12">
        <v>100</v>
      </c>
      <c r="I463" s="12" t="s">
        <v>1302</v>
      </c>
    </row>
    <row r="464" spans="1:9" ht="30" hidden="1" customHeight="1">
      <c r="A464" s="12" t="s">
        <v>1303</v>
      </c>
      <c r="B464" s="14" t="s">
        <v>925</v>
      </c>
      <c r="C464" s="12" t="s">
        <v>563</v>
      </c>
      <c r="D464" s="12" t="s">
        <v>1085</v>
      </c>
      <c r="E464" s="16">
        <v>5000</v>
      </c>
      <c r="F464" s="12">
        <v>300</v>
      </c>
      <c r="G464" s="12">
        <v>0</v>
      </c>
      <c r="H464" s="12" t="s">
        <v>210</v>
      </c>
      <c r="I464" s="12" t="s">
        <v>1304</v>
      </c>
    </row>
    <row r="465" spans="1:9" ht="30" hidden="1" customHeight="1">
      <c r="A465" s="12" t="s">
        <v>1305</v>
      </c>
      <c r="B465" s="14" t="s">
        <v>925</v>
      </c>
      <c r="C465" s="12" t="s">
        <v>1306</v>
      </c>
      <c r="D465" s="12" t="s">
        <v>1115</v>
      </c>
      <c r="E465" s="16">
        <v>3000</v>
      </c>
      <c r="F465" s="12">
        <v>330</v>
      </c>
      <c r="G465" s="16">
        <v>30000</v>
      </c>
      <c r="H465" s="12">
        <v>20</v>
      </c>
      <c r="I465" s="12" t="s">
        <v>1307</v>
      </c>
    </row>
    <row r="466" spans="1:9" s="24" customFormat="1" ht="30" customHeight="1">
      <c r="A466" s="20" t="s">
        <v>1308</v>
      </c>
      <c r="B466" s="21" t="s">
        <v>925</v>
      </c>
      <c r="C466" s="20" t="s">
        <v>1309</v>
      </c>
      <c r="D466" s="20" t="s">
        <v>1310</v>
      </c>
      <c r="E466" s="22">
        <v>20000</v>
      </c>
      <c r="F466" s="22">
        <v>1350</v>
      </c>
      <c r="G466" s="22">
        <v>30000</v>
      </c>
      <c r="H466" s="20" t="s">
        <v>210</v>
      </c>
      <c r="I466" s="20" t="s">
        <v>1311</v>
      </c>
    </row>
    <row r="467" spans="1:9" ht="30" hidden="1" customHeight="1">
      <c r="A467" s="12" t="s">
        <v>1312</v>
      </c>
      <c r="B467" s="14" t="s">
        <v>925</v>
      </c>
      <c r="C467" s="12" t="s">
        <v>563</v>
      </c>
      <c r="D467" s="12" t="s">
        <v>1313</v>
      </c>
      <c r="E467" s="16">
        <v>6000</v>
      </c>
      <c r="F467" s="12">
        <v>300</v>
      </c>
      <c r="G467" s="12">
        <v>0</v>
      </c>
      <c r="H467" s="12" t="s">
        <v>210</v>
      </c>
      <c r="I467" s="12" t="s">
        <v>1314</v>
      </c>
    </row>
    <row r="468" spans="1:9" ht="30" hidden="1" customHeight="1">
      <c r="A468" s="12" t="s">
        <v>1315</v>
      </c>
      <c r="B468" s="14" t="s">
        <v>925</v>
      </c>
      <c r="C468" s="12" t="s">
        <v>563</v>
      </c>
      <c r="D468" s="12" t="s">
        <v>1018</v>
      </c>
      <c r="E468" s="16">
        <v>5000</v>
      </c>
      <c r="F468" s="12">
        <v>450</v>
      </c>
      <c r="G468" s="12">
        <v>0</v>
      </c>
      <c r="H468" s="12" t="s">
        <v>210</v>
      </c>
      <c r="I468" s="12" t="s">
        <v>1316</v>
      </c>
    </row>
    <row r="469" spans="1:9" ht="30" hidden="1" customHeight="1">
      <c r="A469" s="12" t="s">
        <v>1317</v>
      </c>
      <c r="B469" s="14" t="s">
        <v>925</v>
      </c>
      <c r="C469" s="12" t="s">
        <v>1318</v>
      </c>
      <c r="D469" s="12" t="s">
        <v>1319</v>
      </c>
      <c r="E469" s="16">
        <v>4000</v>
      </c>
      <c r="F469" s="12">
        <v>250</v>
      </c>
      <c r="G469" s="16">
        <v>10000</v>
      </c>
      <c r="H469" s="12" t="s">
        <v>210</v>
      </c>
      <c r="I469" s="12" t="s">
        <v>1320</v>
      </c>
    </row>
    <row r="470" spans="1:9" ht="30" hidden="1" customHeight="1">
      <c r="A470" s="12" t="s">
        <v>1321</v>
      </c>
      <c r="B470" s="14" t="s">
        <v>925</v>
      </c>
      <c r="C470" s="12" t="s">
        <v>1322</v>
      </c>
      <c r="D470" s="12" t="s">
        <v>943</v>
      </c>
      <c r="E470" s="16">
        <v>3000</v>
      </c>
      <c r="F470" s="12">
        <v>350</v>
      </c>
      <c r="G470" s="16">
        <v>9000</v>
      </c>
      <c r="H470" s="12" t="s">
        <v>210</v>
      </c>
      <c r="I470" s="12" t="s">
        <v>1323</v>
      </c>
    </row>
    <row r="471" spans="1:9" ht="30" hidden="1" customHeight="1">
      <c r="A471" s="12" t="s">
        <v>1324</v>
      </c>
      <c r="B471" s="14" t="s">
        <v>925</v>
      </c>
      <c r="C471" s="12" t="s">
        <v>1325</v>
      </c>
      <c r="D471" s="12" t="s">
        <v>1326</v>
      </c>
      <c r="E471" s="16">
        <v>8000</v>
      </c>
      <c r="F471" s="12">
        <v>345</v>
      </c>
      <c r="G471" s="16">
        <v>15000</v>
      </c>
      <c r="H471" s="12" t="s">
        <v>210</v>
      </c>
      <c r="I471" s="12" t="s">
        <v>1327</v>
      </c>
    </row>
    <row r="472" spans="1:9" ht="30" hidden="1" customHeight="1">
      <c r="A472" s="12" t="s">
        <v>1328</v>
      </c>
      <c r="B472" s="14" t="s">
        <v>925</v>
      </c>
      <c r="C472" s="12" t="s">
        <v>1329</v>
      </c>
      <c r="D472" s="12" t="s">
        <v>943</v>
      </c>
      <c r="E472" s="16">
        <v>5000</v>
      </c>
      <c r="F472" s="12">
        <v>280</v>
      </c>
      <c r="G472" s="16">
        <v>2000</v>
      </c>
      <c r="H472" s="12" t="s">
        <v>210</v>
      </c>
      <c r="I472" s="12" t="s">
        <v>1330</v>
      </c>
    </row>
    <row r="473" spans="1:9" ht="30" hidden="1" customHeight="1">
      <c r="A473" s="12" t="s">
        <v>1331</v>
      </c>
      <c r="B473" s="14" t="s">
        <v>925</v>
      </c>
      <c r="C473" s="12" t="s">
        <v>1332</v>
      </c>
      <c r="D473" s="12" t="s">
        <v>1001</v>
      </c>
      <c r="E473" s="16">
        <v>6000</v>
      </c>
      <c r="F473" s="12">
        <v>310</v>
      </c>
      <c r="G473" s="16">
        <v>6000</v>
      </c>
      <c r="H473" s="12" t="s">
        <v>210</v>
      </c>
      <c r="I473" s="12" t="s">
        <v>210</v>
      </c>
    </row>
    <row r="474" spans="1:9" ht="30" hidden="1" customHeight="1">
      <c r="A474" s="12" t="s">
        <v>1333</v>
      </c>
      <c r="B474" s="14" t="s">
        <v>925</v>
      </c>
      <c r="C474" s="12" t="s">
        <v>1334</v>
      </c>
      <c r="D474" s="12" t="s">
        <v>943</v>
      </c>
      <c r="E474" s="16">
        <v>6000</v>
      </c>
      <c r="F474" s="12">
        <v>460</v>
      </c>
      <c r="G474" s="12">
        <v>0</v>
      </c>
      <c r="H474" s="12" t="s">
        <v>210</v>
      </c>
      <c r="I474" s="12" t="s">
        <v>1335</v>
      </c>
    </row>
    <row r="475" spans="1:9" ht="30" hidden="1" customHeight="1">
      <c r="A475" s="12" t="s">
        <v>1336</v>
      </c>
      <c r="B475" s="14" t="s">
        <v>925</v>
      </c>
      <c r="C475" s="12" t="s">
        <v>1036</v>
      </c>
      <c r="D475" s="12" t="s">
        <v>956</v>
      </c>
      <c r="E475" s="16">
        <v>1000</v>
      </c>
      <c r="F475" s="12">
        <v>190</v>
      </c>
      <c r="G475" s="12">
        <v>0</v>
      </c>
      <c r="H475" s="12" t="s">
        <v>210</v>
      </c>
      <c r="I475" s="12" t="s">
        <v>210</v>
      </c>
    </row>
    <row r="476" spans="1:9" ht="30" hidden="1" customHeight="1">
      <c r="A476" s="12" t="s">
        <v>1337</v>
      </c>
      <c r="B476" s="14" t="s">
        <v>925</v>
      </c>
      <c r="C476" s="12" t="s">
        <v>1102</v>
      </c>
      <c r="D476" s="12" t="s">
        <v>943</v>
      </c>
      <c r="E476" s="16">
        <v>9000</v>
      </c>
      <c r="F476" s="12">
        <v>570</v>
      </c>
      <c r="G476" s="12">
        <v>0</v>
      </c>
      <c r="H476" s="12" t="s">
        <v>210</v>
      </c>
      <c r="I476" s="12" t="s">
        <v>1338</v>
      </c>
    </row>
    <row r="477" spans="1:9" ht="30" hidden="1" customHeight="1">
      <c r="A477" s="12" t="s">
        <v>1339</v>
      </c>
      <c r="B477" s="14" t="s">
        <v>925</v>
      </c>
      <c r="C477" s="12" t="s">
        <v>563</v>
      </c>
      <c r="D477" s="12" t="s">
        <v>1090</v>
      </c>
      <c r="E477" s="16">
        <v>3000</v>
      </c>
      <c r="F477" s="12">
        <v>270</v>
      </c>
      <c r="G477" s="12">
        <v>0</v>
      </c>
      <c r="H477" s="12" t="s">
        <v>210</v>
      </c>
      <c r="I477" s="12" t="s">
        <v>210</v>
      </c>
    </row>
    <row r="478" spans="1:9" ht="30" hidden="1" customHeight="1">
      <c r="A478" s="12" t="s">
        <v>1340</v>
      </c>
      <c r="B478" s="14" t="s">
        <v>925</v>
      </c>
      <c r="C478" s="12" t="s">
        <v>563</v>
      </c>
      <c r="D478" s="12" t="s">
        <v>1106</v>
      </c>
      <c r="E478" s="16">
        <v>3000</v>
      </c>
      <c r="F478" s="12">
        <v>220</v>
      </c>
      <c r="G478" s="12">
        <v>0</v>
      </c>
      <c r="H478" s="12" t="s">
        <v>210</v>
      </c>
      <c r="I478" s="12" t="s">
        <v>210</v>
      </c>
    </row>
    <row r="479" spans="1:9" ht="30" hidden="1" customHeight="1">
      <c r="A479" s="12" t="s">
        <v>1341</v>
      </c>
      <c r="B479" s="14" t="s">
        <v>925</v>
      </c>
      <c r="C479" s="12" t="s">
        <v>1342</v>
      </c>
      <c r="D479" s="12" t="s">
        <v>1090</v>
      </c>
      <c r="E479" s="16">
        <v>4000</v>
      </c>
      <c r="F479" s="12">
        <v>170</v>
      </c>
      <c r="G479" s="12" t="s">
        <v>210</v>
      </c>
      <c r="H479" s="12">
        <v>12</v>
      </c>
      <c r="I479" s="12" t="s">
        <v>1343</v>
      </c>
    </row>
    <row r="480" spans="1:9" ht="30" hidden="1" customHeight="1">
      <c r="A480" s="12" t="s">
        <v>1344</v>
      </c>
      <c r="B480" s="14" t="s">
        <v>925</v>
      </c>
      <c r="C480" s="12" t="s">
        <v>1345</v>
      </c>
      <c r="D480" s="12" t="s">
        <v>943</v>
      </c>
      <c r="E480" s="16">
        <v>4000</v>
      </c>
      <c r="F480" s="12">
        <v>420</v>
      </c>
      <c r="G480" s="16">
        <v>9500</v>
      </c>
      <c r="H480" s="12">
        <v>3</v>
      </c>
      <c r="I480" s="12" t="s">
        <v>1346</v>
      </c>
    </row>
    <row r="481" spans="1:10" ht="30" hidden="1" customHeight="1">
      <c r="A481" s="12" t="s">
        <v>1347</v>
      </c>
      <c r="B481" s="14" t="s">
        <v>925</v>
      </c>
      <c r="C481" s="12" t="s">
        <v>1349</v>
      </c>
      <c r="D481" s="12" t="s">
        <v>1085</v>
      </c>
      <c r="E481" s="16">
        <v>6000</v>
      </c>
      <c r="F481" s="12">
        <v>290</v>
      </c>
      <c r="G481" s="16">
        <v>6000</v>
      </c>
      <c r="H481" s="12">
        <v>10</v>
      </c>
      <c r="I481" s="12" t="s">
        <v>1348</v>
      </c>
    </row>
    <row r="482" spans="1:10" ht="30" hidden="1" customHeight="1">
      <c r="A482" s="12" t="s">
        <v>1273</v>
      </c>
      <c r="B482" s="14" t="s">
        <v>925</v>
      </c>
      <c r="C482" s="12" t="s">
        <v>1274</v>
      </c>
      <c r="D482" s="12" t="s">
        <v>1001</v>
      </c>
      <c r="E482" s="16">
        <v>4000</v>
      </c>
      <c r="F482" s="12">
        <v>170</v>
      </c>
      <c r="G482" s="16">
        <v>8000</v>
      </c>
      <c r="H482" s="12" t="s">
        <v>210</v>
      </c>
      <c r="I482" s="12" t="s">
        <v>1275</v>
      </c>
    </row>
    <row r="483" spans="1:10" ht="30" hidden="1" customHeight="1">
      <c r="A483" s="12" t="s">
        <v>1276</v>
      </c>
      <c r="B483" s="14" t="s">
        <v>925</v>
      </c>
      <c r="C483" s="12" t="s">
        <v>1277</v>
      </c>
      <c r="D483" s="12" t="s">
        <v>1278</v>
      </c>
      <c r="E483" s="16">
        <v>3000</v>
      </c>
      <c r="F483" s="12">
        <v>280</v>
      </c>
      <c r="G483" s="16">
        <v>8000</v>
      </c>
      <c r="H483" s="12">
        <v>10</v>
      </c>
      <c r="I483" s="12" t="s">
        <v>1279</v>
      </c>
    </row>
    <row r="484" spans="1:10" ht="30" hidden="1" customHeight="1">
      <c r="A484" s="12" t="s">
        <v>1280</v>
      </c>
      <c r="B484" s="14" t="s">
        <v>925</v>
      </c>
      <c r="C484" s="12" t="s">
        <v>1294</v>
      </c>
      <c r="D484" s="12" t="s">
        <v>1222</v>
      </c>
      <c r="E484" s="16">
        <v>5000</v>
      </c>
      <c r="F484" s="12">
        <v>385</v>
      </c>
      <c r="G484" s="16">
        <v>10000</v>
      </c>
      <c r="H484" s="12" t="s">
        <v>210</v>
      </c>
      <c r="I484" s="12" t="s">
        <v>1281</v>
      </c>
    </row>
    <row r="485" spans="1:10" ht="30" hidden="1" customHeight="1">
      <c r="A485" s="12" t="s">
        <v>1282</v>
      </c>
      <c r="B485" s="14" t="s">
        <v>925</v>
      </c>
      <c r="C485" s="12" t="s">
        <v>1283</v>
      </c>
      <c r="D485" s="12" t="s">
        <v>1059</v>
      </c>
      <c r="E485" s="16">
        <v>6000</v>
      </c>
      <c r="F485" s="12">
        <v>420</v>
      </c>
      <c r="G485" s="16">
        <v>8000</v>
      </c>
      <c r="H485" s="12" t="s">
        <v>210</v>
      </c>
      <c r="I485" s="12" t="s">
        <v>1284</v>
      </c>
    </row>
    <row r="486" spans="1:10" ht="30" hidden="1" customHeight="1">
      <c r="A486" s="12" t="s">
        <v>1285</v>
      </c>
      <c r="B486" s="14" t="s">
        <v>925</v>
      </c>
      <c r="C486" s="12" t="s">
        <v>1286</v>
      </c>
      <c r="D486" s="12" t="s">
        <v>943</v>
      </c>
      <c r="E486" s="16">
        <v>6000</v>
      </c>
      <c r="F486" s="12">
        <v>620</v>
      </c>
      <c r="G486" s="16">
        <v>1000</v>
      </c>
      <c r="H486" s="12">
        <v>25</v>
      </c>
      <c r="I486" s="12" t="s">
        <v>1287</v>
      </c>
    </row>
    <row r="487" spans="1:10" ht="30" hidden="1" customHeight="1">
      <c r="A487" s="12" t="s">
        <v>1288</v>
      </c>
      <c r="B487" s="14" t="s">
        <v>925</v>
      </c>
      <c r="C487" s="12" t="s">
        <v>1289</v>
      </c>
      <c r="D487" s="12" t="s">
        <v>943</v>
      </c>
      <c r="E487" s="16">
        <v>8000</v>
      </c>
      <c r="F487" s="12">
        <v>480</v>
      </c>
      <c r="G487" s="12">
        <v>0</v>
      </c>
      <c r="H487" s="12">
        <v>24</v>
      </c>
      <c r="I487" s="12" t="s">
        <v>1290</v>
      </c>
    </row>
    <row r="488" spans="1:10" ht="30" hidden="1" customHeight="1">
      <c r="A488" s="12" t="s">
        <v>1291</v>
      </c>
      <c r="B488" s="14" t="s">
        <v>925</v>
      </c>
      <c r="C488" s="12" t="s">
        <v>1292</v>
      </c>
      <c r="D488" s="12" t="s">
        <v>991</v>
      </c>
      <c r="E488" s="16">
        <v>2000</v>
      </c>
      <c r="F488" s="12">
        <v>270</v>
      </c>
      <c r="G488" s="16">
        <v>25000</v>
      </c>
      <c r="H488" s="12" t="s">
        <v>210</v>
      </c>
      <c r="I488" s="12" t="s">
        <v>1293</v>
      </c>
    </row>
    <row r="490" spans="1:10" ht="30" hidden="1" customHeight="1">
      <c r="A490" s="13" t="s">
        <v>0</v>
      </c>
      <c r="B490" s="13" t="s">
        <v>976</v>
      </c>
      <c r="C490" s="13" t="s">
        <v>1031</v>
      </c>
      <c r="D490" s="13" t="s">
        <v>3</v>
      </c>
      <c r="E490" s="13" t="s">
        <v>919</v>
      </c>
      <c r="F490" s="13" t="s">
        <v>920</v>
      </c>
      <c r="G490" s="13" t="s">
        <v>921</v>
      </c>
      <c r="H490" s="13" t="s">
        <v>922</v>
      </c>
      <c r="I490" s="13" t="s">
        <v>8</v>
      </c>
      <c r="J490" s="13" t="s">
        <v>1350</v>
      </c>
    </row>
    <row r="491" spans="1:10" ht="30" hidden="1" customHeight="1">
      <c r="A491" s="12" t="s">
        <v>1351</v>
      </c>
      <c r="B491" s="14" t="s">
        <v>960</v>
      </c>
      <c r="C491" s="12" t="s">
        <v>1352</v>
      </c>
      <c r="D491" s="12" t="s">
        <v>1085</v>
      </c>
      <c r="E491" s="16">
        <v>4000</v>
      </c>
      <c r="F491" s="12">
        <v>210</v>
      </c>
      <c r="G491" s="12">
        <v>0</v>
      </c>
      <c r="H491" s="12" t="s">
        <v>1353</v>
      </c>
      <c r="I491" s="12" t="s">
        <v>1354</v>
      </c>
      <c r="J491" s="12" t="s">
        <v>1355</v>
      </c>
    </row>
    <row r="492" spans="1:10" ht="30" hidden="1" customHeight="1">
      <c r="A492" s="12" t="s">
        <v>1356</v>
      </c>
      <c r="B492" s="14" t="s">
        <v>960</v>
      </c>
      <c r="C492" s="12" t="s">
        <v>1380</v>
      </c>
      <c r="D492" s="12" t="s">
        <v>1059</v>
      </c>
      <c r="E492" s="16">
        <v>3000</v>
      </c>
      <c r="F492" s="12">
        <v>270</v>
      </c>
      <c r="G492" s="16">
        <v>2800</v>
      </c>
      <c r="H492" s="12">
        <v>0</v>
      </c>
      <c r="I492" s="12" t="s">
        <v>1357</v>
      </c>
      <c r="J492" s="12" t="s">
        <v>1355</v>
      </c>
    </row>
    <row r="493" spans="1:10" ht="30" hidden="1" customHeight="1">
      <c r="A493" s="12" t="s">
        <v>1358</v>
      </c>
      <c r="B493" s="14" t="s">
        <v>925</v>
      </c>
      <c r="C493" s="12" t="s">
        <v>1379</v>
      </c>
      <c r="D493" s="12" t="s">
        <v>1001</v>
      </c>
      <c r="E493" s="16">
        <v>6000</v>
      </c>
      <c r="F493" s="12">
        <v>300</v>
      </c>
      <c r="G493" s="12">
        <v>0</v>
      </c>
      <c r="H493" s="12">
        <v>12</v>
      </c>
      <c r="I493" s="12" t="s">
        <v>1359</v>
      </c>
      <c r="J493" s="12" t="s">
        <v>1360</v>
      </c>
    </row>
    <row r="494" spans="1:10" ht="30" hidden="1" customHeight="1">
      <c r="A494" s="12" t="s">
        <v>1361</v>
      </c>
      <c r="B494" s="14" t="s">
        <v>925</v>
      </c>
      <c r="C494" s="12" t="s">
        <v>1378</v>
      </c>
      <c r="D494" s="12" t="s">
        <v>1118</v>
      </c>
      <c r="E494" s="16">
        <v>6000</v>
      </c>
      <c r="F494" s="12">
        <v>370</v>
      </c>
      <c r="G494" s="16">
        <v>3000</v>
      </c>
      <c r="H494" s="12" t="s">
        <v>210</v>
      </c>
      <c r="I494" s="12" t="s">
        <v>1362</v>
      </c>
      <c r="J494" s="12" t="s">
        <v>1360</v>
      </c>
    </row>
    <row r="495" spans="1:10" ht="30" hidden="1" customHeight="1">
      <c r="A495" s="12" t="s">
        <v>1363</v>
      </c>
      <c r="B495" s="14" t="s">
        <v>925</v>
      </c>
      <c r="C495" s="12" t="s">
        <v>1364</v>
      </c>
      <c r="D495" s="12" t="s">
        <v>1365</v>
      </c>
      <c r="E495" s="16">
        <v>5000</v>
      </c>
      <c r="F495" s="12">
        <v>315</v>
      </c>
      <c r="G495" s="16">
        <v>2000</v>
      </c>
      <c r="H495" s="12" t="s">
        <v>210</v>
      </c>
      <c r="I495" s="12" t="s">
        <v>210</v>
      </c>
      <c r="J495" s="12" t="s">
        <v>1360</v>
      </c>
    </row>
    <row r="496" spans="1:10" ht="30" hidden="1" customHeight="1">
      <c r="A496" s="12" t="s">
        <v>1366</v>
      </c>
      <c r="B496" s="14" t="s">
        <v>960</v>
      </c>
      <c r="C496" s="12" t="s">
        <v>563</v>
      </c>
      <c r="D496" s="12" t="s">
        <v>1118</v>
      </c>
      <c r="E496" s="16">
        <v>2000</v>
      </c>
      <c r="F496" s="12">
        <v>200</v>
      </c>
      <c r="G496" s="12">
        <v>0</v>
      </c>
      <c r="H496" s="12" t="s">
        <v>210</v>
      </c>
      <c r="I496" s="12" t="s">
        <v>210</v>
      </c>
      <c r="J496" s="12" t="s">
        <v>1360</v>
      </c>
    </row>
    <row r="497" spans="1:10" ht="30" hidden="1" customHeight="1">
      <c r="A497" s="12" t="s">
        <v>1367</v>
      </c>
      <c r="B497" s="14" t="s">
        <v>925</v>
      </c>
      <c r="C497" s="12" t="s">
        <v>1368</v>
      </c>
      <c r="D497" s="12" t="s">
        <v>1369</v>
      </c>
      <c r="E497" s="16">
        <v>3000</v>
      </c>
      <c r="F497" s="12">
        <v>330</v>
      </c>
      <c r="G497" s="16">
        <v>7000</v>
      </c>
      <c r="H497" s="12">
        <v>50</v>
      </c>
      <c r="I497" s="12" t="s">
        <v>210</v>
      </c>
      <c r="J497" s="12" t="s">
        <v>1370</v>
      </c>
    </row>
    <row r="498" spans="1:10" ht="30" hidden="1" customHeight="1">
      <c r="A498" s="12" t="s">
        <v>1371</v>
      </c>
      <c r="B498" s="14" t="s">
        <v>925</v>
      </c>
      <c r="C498" s="12" t="s">
        <v>563</v>
      </c>
      <c r="D498" s="12" t="s">
        <v>1015</v>
      </c>
      <c r="E498" s="16">
        <v>9000</v>
      </c>
      <c r="F498" s="12">
        <v>500</v>
      </c>
      <c r="G498" s="12" t="s">
        <v>210</v>
      </c>
      <c r="H498" s="12" t="s">
        <v>1353</v>
      </c>
      <c r="I498" s="12" t="s">
        <v>1372</v>
      </c>
      <c r="J498" s="12" t="s">
        <v>1370</v>
      </c>
    </row>
    <row r="499" spans="1:10" ht="30" hidden="1" customHeight="1">
      <c r="A499" s="12" t="s">
        <v>1324</v>
      </c>
      <c r="B499" s="14" t="s">
        <v>925</v>
      </c>
      <c r="C499" s="12" t="s">
        <v>1381</v>
      </c>
      <c r="D499" s="12" t="s">
        <v>1373</v>
      </c>
      <c r="E499" s="16">
        <v>5000</v>
      </c>
      <c r="F499" s="12">
        <v>350</v>
      </c>
      <c r="G499" s="16">
        <v>3000</v>
      </c>
      <c r="H499" s="12">
        <v>60</v>
      </c>
      <c r="I499" s="12" t="s">
        <v>1374</v>
      </c>
      <c r="J499" s="12" t="s">
        <v>1370</v>
      </c>
    </row>
    <row r="500" spans="1:10" ht="30" hidden="1" customHeight="1">
      <c r="A500" s="12" t="s">
        <v>1375</v>
      </c>
      <c r="B500" s="14" t="s">
        <v>925</v>
      </c>
      <c r="C500" s="12" t="s">
        <v>1382</v>
      </c>
      <c r="D500" s="12" t="s">
        <v>1376</v>
      </c>
      <c r="E500" s="16">
        <v>20000</v>
      </c>
      <c r="F500" s="12">
        <v>930</v>
      </c>
      <c r="G500" s="16">
        <v>15000</v>
      </c>
      <c r="H500" s="12">
        <v>20</v>
      </c>
      <c r="I500" s="12" t="s">
        <v>1377</v>
      </c>
      <c r="J500" s="12" t="s">
        <v>1370</v>
      </c>
    </row>
    <row r="502" spans="1:10" ht="30" hidden="1" customHeight="1">
      <c r="A502" s="13" t="s">
        <v>0</v>
      </c>
      <c r="B502" s="13" t="s">
        <v>976</v>
      </c>
      <c r="C502" s="13" t="s">
        <v>1031</v>
      </c>
      <c r="D502" s="13" t="s">
        <v>3</v>
      </c>
      <c r="E502" s="13" t="s">
        <v>919</v>
      </c>
      <c r="F502" s="13" t="s">
        <v>920</v>
      </c>
      <c r="G502" s="13" t="s">
        <v>921</v>
      </c>
      <c r="H502" s="13" t="s">
        <v>922</v>
      </c>
      <c r="I502" s="13" t="s">
        <v>8</v>
      </c>
    </row>
    <row r="503" spans="1:10" ht="30" hidden="1" customHeight="1">
      <c r="A503" s="12" t="s">
        <v>1383</v>
      </c>
      <c r="B503" s="14" t="s">
        <v>925</v>
      </c>
      <c r="C503" s="12" t="s">
        <v>1384</v>
      </c>
      <c r="D503" s="12">
        <v>15</v>
      </c>
      <c r="E503" s="16">
        <v>5000</v>
      </c>
      <c r="F503" s="12">
        <v>420</v>
      </c>
      <c r="G503" s="16">
        <v>15000</v>
      </c>
      <c r="H503" s="12" t="s">
        <v>210</v>
      </c>
      <c r="I503" s="12" t="s">
        <v>210</v>
      </c>
    </row>
    <row r="504" spans="1:10" ht="30" hidden="1" customHeight="1">
      <c r="A504" s="12" t="s">
        <v>1385</v>
      </c>
      <c r="B504" s="14" t="s">
        <v>925</v>
      </c>
      <c r="C504" s="12" t="s">
        <v>1386</v>
      </c>
      <c r="D504" s="12">
        <v>9</v>
      </c>
      <c r="E504" s="16">
        <v>1000</v>
      </c>
      <c r="F504" s="12">
        <v>110</v>
      </c>
      <c r="G504" s="16">
        <v>5000</v>
      </c>
      <c r="H504" s="12" t="s">
        <v>210</v>
      </c>
      <c r="I504" s="12" t="s">
        <v>1387</v>
      </c>
    </row>
    <row r="505" spans="1:10" ht="30" hidden="1" customHeight="1">
      <c r="A505" s="12" t="s">
        <v>1388</v>
      </c>
      <c r="B505" s="14" t="s">
        <v>925</v>
      </c>
      <c r="C505" s="12" t="s">
        <v>1389</v>
      </c>
      <c r="D505" s="12">
        <v>29</v>
      </c>
      <c r="E505" s="16">
        <v>4000</v>
      </c>
      <c r="F505" s="12">
        <v>430</v>
      </c>
      <c r="G505" s="16">
        <v>3500</v>
      </c>
      <c r="H505" s="12" t="s">
        <v>210</v>
      </c>
      <c r="I505" s="12" t="s">
        <v>210</v>
      </c>
    </row>
    <row r="506" spans="1:10" ht="30" hidden="1" customHeight="1">
      <c r="A506" s="12" t="s">
        <v>1390</v>
      </c>
      <c r="B506" s="14" t="s">
        <v>925</v>
      </c>
      <c r="C506" s="12" t="s">
        <v>1391</v>
      </c>
      <c r="D506" s="12">
        <v>20</v>
      </c>
      <c r="E506" s="16">
        <v>5000</v>
      </c>
      <c r="F506" s="12">
        <v>260</v>
      </c>
      <c r="G506" s="16">
        <v>3500</v>
      </c>
      <c r="H506" s="12">
        <v>33</v>
      </c>
      <c r="I506" s="12" t="s">
        <v>210</v>
      </c>
    </row>
    <row r="507" spans="1:10" ht="30" hidden="1" customHeight="1">
      <c r="A507" s="12" t="s">
        <v>1392</v>
      </c>
      <c r="B507" s="14" t="s">
        <v>925</v>
      </c>
      <c r="C507" s="12" t="s">
        <v>1393</v>
      </c>
      <c r="D507" s="12">
        <v>19.670000000000002</v>
      </c>
      <c r="E507" s="16">
        <v>7000</v>
      </c>
      <c r="F507" s="12">
        <v>300</v>
      </c>
      <c r="G507" s="16">
        <v>5000</v>
      </c>
      <c r="H507" s="12" t="s">
        <v>210</v>
      </c>
      <c r="I507" s="12" t="s">
        <v>210</v>
      </c>
    </row>
    <row r="508" spans="1:10" ht="30" hidden="1" customHeight="1">
      <c r="A508" s="12" t="s">
        <v>1394</v>
      </c>
      <c r="B508" s="14" t="s">
        <v>925</v>
      </c>
      <c r="C508" s="12" t="s">
        <v>1395</v>
      </c>
      <c r="D508" s="12">
        <v>42.75</v>
      </c>
      <c r="E508" s="16">
        <v>10000</v>
      </c>
      <c r="F508" s="12">
        <v>840</v>
      </c>
      <c r="G508" s="16">
        <v>15000</v>
      </c>
      <c r="H508" s="12" t="s">
        <v>210</v>
      </c>
      <c r="I508" s="12" t="s">
        <v>210</v>
      </c>
    </row>
    <row r="509" spans="1:10" ht="30" hidden="1" customHeight="1">
      <c r="A509" s="12" t="s">
        <v>1396</v>
      </c>
      <c r="B509" s="14" t="s">
        <v>925</v>
      </c>
      <c r="C509" s="12" t="s">
        <v>1397</v>
      </c>
      <c r="D509" s="12">
        <v>60</v>
      </c>
      <c r="E509" s="16">
        <v>15000</v>
      </c>
      <c r="F509" s="12">
        <v>700</v>
      </c>
      <c r="G509" s="16">
        <v>2000</v>
      </c>
      <c r="H509" s="12">
        <v>100</v>
      </c>
      <c r="I509" s="12" t="s">
        <v>1398</v>
      </c>
    </row>
    <row r="510" spans="1:10" ht="30" hidden="1" customHeight="1">
      <c r="A510" s="12" t="s">
        <v>1399</v>
      </c>
      <c r="B510" s="14" t="s">
        <v>925</v>
      </c>
      <c r="C510" s="12" t="s">
        <v>1400</v>
      </c>
      <c r="D510" s="12">
        <v>30</v>
      </c>
      <c r="E510" s="16">
        <v>2000</v>
      </c>
      <c r="F510" s="12">
        <v>170</v>
      </c>
      <c r="G510" s="16">
        <v>3500</v>
      </c>
      <c r="H510" s="12" t="s">
        <v>210</v>
      </c>
      <c r="I510" s="12" t="s">
        <v>1401</v>
      </c>
    </row>
    <row r="511" spans="1:10" ht="30" hidden="1" customHeight="1">
      <c r="A511" s="12" t="s">
        <v>1402</v>
      </c>
      <c r="B511" s="14" t="s">
        <v>925</v>
      </c>
      <c r="C511" s="12" t="s">
        <v>1292</v>
      </c>
      <c r="D511" s="12">
        <v>28.87</v>
      </c>
      <c r="E511" s="16">
        <v>5000</v>
      </c>
      <c r="F511" s="12">
        <v>230</v>
      </c>
      <c r="G511" s="16">
        <v>10000</v>
      </c>
      <c r="H511" s="12" t="s">
        <v>210</v>
      </c>
      <c r="I511" s="12" t="s">
        <v>210</v>
      </c>
    </row>
    <row r="512" spans="1:10" ht="30" hidden="1" customHeight="1">
      <c r="A512" s="12" t="s">
        <v>1403</v>
      </c>
      <c r="B512" s="14" t="s">
        <v>925</v>
      </c>
      <c r="C512" s="12" t="s">
        <v>1404</v>
      </c>
      <c r="D512" s="12">
        <v>15</v>
      </c>
      <c r="E512" s="16">
        <v>5000</v>
      </c>
      <c r="F512" s="12">
        <v>190</v>
      </c>
      <c r="G512" s="12" t="s">
        <v>1405</v>
      </c>
      <c r="H512" s="12" t="s">
        <v>210</v>
      </c>
      <c r="I512" s="12" t="s">
        <v>210</v>
      </c>
    </row>
    <row r="513" spans="1:9" ht="30" hidden="1" customHeight="1">
      <c r="A513" s="12" t="s">
        <v>1406</v>
      </c>
      <c r="B513" s="14" t="s">
        <v>925</v>
      </c>
      <c r="C513" s="12" t="s">
        <v>563</v>
      </c>
      <c r="D513" s="12">
        <v>17</v>
      </c>
      <c r="E513" s="16">
        <v>5000</v>
      </c>
      <c r="F513" s="12">
        <v>250</v>
      </c>
      <c r="G513" s="12" t="s">
        <v>930</v>
      </c>
      <c r="H513" s="12" t="s">
        <v>210</v>
      </c>
      <c r="I513" s="12" t="s">
        <v>210</v>
      </c>
    </row>
    <row r="514" spans="1:9" ht="30" hidden="1" customHeight="1">
      <c r="B514" s="14" t="s">
        <v>925</v>
      </c>
    </row>
    <row r="515" spans="1:9" ht="30" hidden="1" customHeight="1">
      <c r="A515" s="13" t="s">
        <v>0</v>
      </c>
      <c r="B515" s="14" t="s">
        <v>925</v>
      </c>
      <c r="C515" s="13" t="s">
        <v>1031</v>
      </c>
      <c r="D515" s="13" t="s">
        <v>3</v>
      </c>
      <c r="E515" s="13" t="s">
        <v>919</v>
      </c>
      <c r="F515" s="13" t="s">
        <v>920</v>
      </c>
      <c r="G515" s="13" t="s">
        <v>921</v>
      </c>
      <c r="H515" s="13" t="s">
        <v>922</v>
      </c>
      <c r="I515" s="13" t="s">
        <v>8</v>
      </c>
    </row>
    <row r="516" spans="1:9" ht="30" hidden="1" customHeight="1">
      <c r="A516" s="12" t="s">
        <v>1407</v>
      </c>
      <c r="B516" s="14" t="s">
        <v>925</v>
      </c>
      <c r="C516" s="12" t="s">
        <v>1408</v>
      </c>
      <c r="D516" s="12">
        <v>23</v>
      </c>
      <c r="E516" s="16">
        <v>4000</v>
      </c>
      <c r="F516" s="12">
        <v>260</v>
      </c>
      <c r="G516" s="16">
        <v>4000</v>
      </c>
      <c r="H516" s="12" t="s">
        <v>930</v>
      </c>
      <c r="I516" s="12" t="s">
        <v>1409</v>
      </c>
    </row>
    <row r="517" spans="1:9" ht="30" hidden="1" customHeight="1">
      <c r="A517" s="12" t="s">
        <v>1410</v>
      </c>
      <c r="B517" s="14" t="s">
        <v>925</v>
      </c>
      <c r="C517" s="12" t="s">
        <v>1411</v>
      </c>
      <c r="D517" s="12">
        <v>35</v>
      </c>
      <c r="E517" s="16">
        <v>10000</v>
      </c>
      <c r="F517" s="12">
        <v>300</v>
      </c>
      <c r="G517" s="12" t="s">
        <v>930</v>
      </c>
      <c r="H517" s="12">
        <v>35</v>
      </c>
      <c r="I517" s="12" t="s">
        <v>1412</v>
      </c>
    </row>
    <row r="518" spans="1:9" ht="30" hidden="1" customHeight="1">
      <c r="A518" s="12" t="s">
        <v>1413</v>
      </c>
      <c r="B518" s="14" t="s">
        <v>925</v>
      </c>
      <c r="C518" s="12" t="s">
        <v>563</v>
      </c>
      <c r="D518" s="12">
        <v>50</v>
      </c>
      <c r="E518" s="16">
        <v>20000</v>
      </c>
      <c r="F518" s="16">
        <v>1100</v>
      </c>
      <c r="G518" s="12" t="s">
        <v>930</v>
      </c>
      <c r="H518" s="12">
        <v>146</v>
      </c>
      <c r="I518" s="12" t="s">
        <v>1414</v>
      </c>
    </row>
    <row r="519" spans="1:9" ht="30" hidden="1" customHeight="1">
      <c r="A519" s="12" t="s">
        <v>1415</v>
      </c>
      <c r="B519" s="14" t="s">
        <v>925</v>
      </c>
      <c r="C519" s="12" t="s">
        <v>1416</v>
      </c>
      <c r="D519" s="12">
        <v>58</v>
      </c>
      <c r="E519" s="16">
        <v>25000</v>
      </c>
      <c r="F519" s="16">
        <v>1190</v>
      </c>
      <c r="G519" s="16">
        <v>25000</v>
      </c>
      <c r="H519" s="12" t="s">
        <v>210</v>
      </c>
      <c r="I519" s="12" t="s">
        <v>1417</v>
      </c>
    </row>
    <row r="520" spans="1:9" ht="30" hidden="1" customHeight="1">
      <c r="A520" s="12" t="s">
        <v>1418</v>
      </c>
      <c r="B520" s="14" t="s">
        <v>925</v>
      </c>
      <c r="C520" s="12" t="s">
        <v>563</v>
      </c>
      <c r="D520" s="12">
        <v>27</v>
      </c>
      <c r="E520" s="16">
        <v>15000</v>
      </c>
      <c r="F520" s="16">
        <v>1000</v>
      </c>
      <c r="G520" s="12" t="s">
        <v>930</v>
      </c>
      <c r="H520" s="12">
        <v>126</v>
      </c>
      <c r="I520" s="12" t="s">
        <v>1419</v>
      </c>
    </row>
    <row r="521" spans="1:9" ht="30" hidden="1" customHeight="1">
      <c r="A521" s="12" t="s">
        <v>1420</v>
      </c>
      <c r="B521" s="14" t="s">
        <v>925</v>
      </c>
      <c r="C521" s="12" t="s">
        <v>1035</v>
      </c>
      <c r="D521" s="12" t="s">
        <v>1421</v>
      </c>
      <c r="E521" s="16">
        <v>8000</v>
      </c>
      <c r="F521" s="12">
        <v>420</v>
      </c>
      <c r="G521" s="16">
        <v>15000</v>
      </c>
      <c r="H521" s="12" t="s">
        <v>210</v>
      </c>
      <c r="I521" s="12" t="s">
        <v>1422</v>
      </c>
    </row>
    <row r="522" spans="1:9" ht="30" hidden="1" customHeight="1">
      <c r="A522" s="12" t="s">
        <v>1423</v>
      </c>
      <c r="B522" s="14" t="s">
        <v>925</v>
      </c>
      <c r="C522" s="12" t="s">
        <v>1035</v>
      </c>
      <c r="D522" s="12">
        <v>29</v>
      </c>
      <c r="E522" s="16">
        <v>4100</v>
      </c>
      <c r="F522" s="12">
        <v>336</v>
      </c>
      <c r="G522" s="16">
        <v>15000</v>
      </c>
      <c r="H522" s="12" t="s">
        <v>210</v>
      </c>
      <c r="I522" s="12" t="s">
        <v>210</v>
      </c>
    </row>
    <row r="523" spans="1:9" ht="30" hidden="1" customHeight="1">
      <c r="A523" s="12" t="s">
        <v>1424</v>
      </c>
      <c r="B523" s="14" t="s">
        <v>925</v>
      </c>
      <c r="C523" s="12" t="s">
        <v>563</v>
      </c>
      <c r="D523" s="12">
        <v>17</v>
      </c>
      <c r="E523" s="16">
        <v>10000</v>
      </c>
      <c r="F523" s="12">
        <v>450</v>
      </c>
      <c r="G523" s="12" t="s">
        <v>930</v>
      </c>
      <c r="H523" s="12">
        <v>50</v>
      </c>
      <c r="I523" s="12" t="s">
        <v>1425</v>
      </c>
    </row>
    <row r="524" spans="1:9" ht="30" hidden="1" customHeight="1">
      <c r="A524" s="12" t="s">
        <v>1426</v>
      </c>
      <c r="B524" s="14" t="s">
        <v>925</v>
      </c>
      <c r="C524" s="12" t="s">
        <v>563</v>
      </c>
      <c r="D524" s="12">
        <v>26</v>
      </c>
      <c r="E524" s="16">
        <v>12000</v>
      </c>
      <c r="F524" s="12">
        <v>750</v>
      </c>
      <c r="G524" s="12" t="s">
        <v>930</v>
      </c>
      <c r="H524" s="12">
        <v>100</v>
      </c>
      <c r="I524" s="12" t="s">
        <v>1427</v>
      </c>
    </row>
    <row r="525" spans="1:9" ht="30" hidden="1" customHeight="1">
      <c r="A525" s="12" t="s">
        <v>1426</v>
      </c>
      <c r="B525" s="14" t="s">
        <v>925</v>
      </c>
      <c r="C525" s="12" t="s">
        <v>1428</v>
      </c>
      <c r="D525" s="12">
        <v>53</v>
      </c>
      <c r="E525" s="16">
        <v>20000</v>
      </c>
      <c r="F525" s="16">
        <v>1320</v>
      </c>
      <c r="G525" s="12" t="s">
        <v>930</v>
      </c>
      <c r="H525" s="12">
        <v>180</v>
      </c>
      <c r="I525" s="12" t="s">
        <v>1429</v>
      </c>
    </row>
    <row r="526" spans="1:9" ht="30" hidden="1" customHeight="1">
      <c r="A526" s="12" t="s">
        <v>1430</v>
      </c>
      <c r="B526" s="14" t="s">
        <v>925</v>
      </c>
      <c r="C526" s="12" t="s">
        <v>1195</v>
      </c>
      <c r="D526" s="12">
        <v>37</v>
      </c>
      <c r="E526" s="16">
        <v>10000</v>
      </c>
      <c r="F526" s="12">
        <v>535</v>
      </c>
      <c r="G526" s="16">
        <v>10000</v>
      </c>
      <c r="H526" s="12">
        <v>30</v>
      </c>
      <c r="I526" s="12" t="s">
        <v>210</v>
      </c>
    </row>
    <row r="527" spans="1:9" ht="30" hidden="1" customHeight="1">
      <c r="A527" s="12" t="s">
        <v>1431</v>
      </c>
      <c r="B527" s="14" t="s">
        <v>925</v>
      </c>
      <c r="C527" s="12" t="s">
        <v>563</v>
      </c>
      <c r="D527" s="12">
        <v>48</v>
      </c>
      <c r="E527" s="16">
        <v>8000</v>
      </c>
      <c r="F527" s="12">
        <v>670</v>
      </c>
      <c r="G527" s="12" t="s">
        <v>930</v>
      </c>
      <c r="H527" s="12" t="s">
        <v>210</v>
      </c>
      <c r="I527" s="12" t="s">
        <v>1432</v>
      </c>
    </row>
    <row r="528" spans="1:9" ht="30" hidden="1" customHeight="1">
      <c r="A528" s="12" t="s">
        <v>1433</v>
      </c>
      <c r="B528" s="14" t="s">
        <v>925</v>
      </c>
      <c r="C528" s="12" t="s">
        <v>563</v>
      </c>
      <c r="D528" s="12">
        <v>34</v>
      </c>
      <c r="E528" s="16">
        <v>4000</v>
      </c>
      <c r="F528" s="12">
        <v>280</v>
      </c>
      <c r="G528" s="12" t="s">
        <v>930</v>
      </c>
      <c r="H528" s="12" t="s">
        <v>210</v>
      </c>
      <c r="I528" s="12" t="s">
        <v>1434</v>
      </c>
    </row>
    <row r="529" spans="1:10" ht="30" hidden="1" customHeight="1">
      <c r="A529" s="12" t="s">
        <v>1435</v>
      </c>
      <c r="B529" s="14" t="s">
        <v>925</v>
      </c>
      <c r="C529" s="12" t="s">
        <v>1436</v>
      </c>
      <c r="D529" s="12" t="s">
        <v>1437</v>
      </c>
      <c r="E529" s="16">
        <v>5000</v>
      </c>
      <c r="F529" s="12">
        <v>590</v>
      </c>
      <c r="G529" s="12" t="s">
        <v>930</v>
      </c>
      <c r="H529" s="12" t="s">
        <v>210</v>
      </c>
      <c r="I529" s="12" t="s">
        <v>210</v>
      </c>
    </row>
    <row r="530" spans="1:10" ht="30" hidden="1" customHeight="1">
      <c r="A530" s="12" t="s">
        <v>1438</v>
      </c>
      <c r="B530" s="14" t="s">
        <v>925</v>
      </c>
      <c r="C530" s="12" t="s">
        <v>563</v>
      </c>
      <c r="D530" s="12" t="s">
        <v>1439</v>
      </c>
      <c r="E530" s="16">
        <v>9000</v>
      </c>
      <c r="F530" s="12">
        <v>450</v>
      </c>
      <c r="G530" s="12" t="s">
        <v>930</v>
      </c>
      <c r="H530" s="12" t="s">
        <v>210</v>
      </c>
      <c r="I530" s="12" t="s">
        <v>1440</v>
      </c>
    </row>
    <row r="531" spans="1:10" ht="30" hidden="1" customHeight="1">
      <c r="A531" s="12" t="s">
        <v>1441</v>
      </c>
      <c r="B531" s="14" t="s">
        <v>925</v>
      </c>
      <c r="C531" s="12" t="s">
        <v>1442</v>
      </c>
      <c r="D531" s="12" t="s">
        <v>1443</v>
      </c>
      <c r="E531" s="16">
        <v>3000</v>
      </c>
      <c r="F531" s="12">
        <v>270</v>
      </c>
      <c r="G531" s="16">
        <v>9000</v>
      </c>
      <c r="H531" s="12" t="s">
        <v>210</v>
      </c>
      <c r="I531" s="12" t="s">
        <v>1444</v>
      </c>
    </row>
    <row r="532" spans="1:10" ht="30" hidden="1" customHeight="1">
      <c r="A532" s="12" t="s">
        <v>1445</v>
      </c>
      <c r="B532" s="14" t="s">
        <v>925</v>
      </c>
      <c r="C532" s="12" t="s">
        <v>1446</v>
      </c>
      <c r="D532" s="12">
        <v>27</v>
      </c>
      <c r="E532" s="16">
        <v>4000</v>
      </c>
      <c r="F532" s="12">
        <v>230</v>
      </c>
      <c r="G532" s="16">
        <v>6000</v>
      </c>
      <c r="H532" s="12">
        <v>3</v>
      </c>
      <c r="I532" s="12" t="s">
        <v>1447</v>
      </c>
    </row>
    <row r="533" spans="1:10" ht="30" hidden="1" customHeight="1">
      <c r="A533" s="12" t="s">
        <v>1686</v>
      </c>
      <c r="B533" s="14"/>
      <c r="C533" s="12" t="s">
        <v>1036</v>
      </c>
      <c r="D533" s="12" t="s">
        <v>1448</v>
      </c>
      <c r="E533" s="16">
        <v>5000</v>
      </c>
      <c r="F533" s="12">
        <v>470</v>
      </c>
      <c r="G533" s="16">
        <v>11000</v>
      </c>
      <c r="H533" s="12">
        <v>80</v>
      </c>
      <c r="I533" s="12" t="s">
        <v>1449</v>
      </c>
    </row>
    <row r="534" spans="1:10" ht="30" hidden="1" customHeight="1">
      <c r="A534" s="12" t="s">
        <v>1450</v>
      </c>
      <c r="B534" s="14" t="s">
        <v>925</v>
      </c>
      <c r="C534" s="12" t="s">
        <v>1195</v>
      </c>
      <c r="D534" s="12">
        <v>30</v>
      </c>
      <c r="E534" s="16">
        <v>10000</v>
      </c>
      <c r="F534" s="12">
        <v>400</v>
      </c>
      <c r="G534" s="16">
        <v>10000</v>
      </c>
      <c r="H534" s="12" t="s">
        <v>210</v>
      </c>
      <c r="I534" s="12" t="s">
        <v>1451</v>
      </c>
    </row>
    <row r="535" spans="1:10" ht="30" hidden="1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</row>
    <row r="536" spans="1:10" ht="30" hidden="1" customHeight="1">
      <c r="A536" s="13" t="s">
        <v>0</v>
      </c>
      <c r="B536" s="13" t="s">
        <v>1452</v>
      </c>
      <c r="C536" s="13" t="s">
        <v>2</v>
      </c>
      <c r="D536" s="13" t="s">
        <v>1453</v>
      </c>
      <c r="E536" s="13" t="s">
        <v>3</v>
      </c>
      <c r="F536" s="13" t="s">
        <v>919</v>
      </c>
      <c r="G536" s="13" t="s">
        <v>920</v>
      </c>
      <c r="H536" s="13" t="s">
        <v>921</v>
      </c>
      <c r="I536" s="13" t="s">
        <v>922</v>
      </c>
      <c r="J536" s="13" t="s">
        <v>8</v>
      </c>
    </row>
    <row r="537" spans="1:10" ht="30" hidden="1" customHeight="1">
      <c r="A537" s="12" t="s">
        <v>1454</v>
      </c>
      <c r="B537" s="14" t="s">
        <v>925</v>
      </c>
      <c r="C537" s="12" t="s">
        <v>59</v>
      </c>
      <c r="D537" s="12" t="s">
        <v>1455</v>
      </c>
      <c r="E537" s="12">
        <v>36.1</v>
      </c>
      <c r="F537" s="16">
        <v>10000</v>
      </c>
      <c r="G537" s="12">
        <v>550</v>
      </c>
      <c r="H537" s="16">
        <v>5000</v>
      </c>
      <c r="I537" s="12" t="s">
        <v>210</v>
      </c>
      <c r="J537" s="12" t="s">
        <v>1456</v>
      </c>
    </row>
    <row r="538" spans="1:10" ht="30" hidden="1" customHeight="1">
      <c r="A538" s="12" t="s">
        <v>1457</v>
      </c>
      <c r="B538" s="14" t="s">
        <v>925</v>
      </c>
      <c r="C538" s="12" t="s">
        <v>59</v>
      </c>
      <c r="D538" s="12" t="s">
        <v>210</v>
      </c>
      <c r="E538" s="12">
        <v>58</v>
      </c>
      <c r="F538" s="16">
        <v>3000</v>
      </c>
      <c r="G538" s="12">
        <v>160</v>
      </c>
      <c r="H538" s="16">
        <v>5000</v>
      </c>
      <c r="I538" s="12" t="s">
        <v>210</v>
      </c>
      <c r="J538" s="12" t="s">
        <v>210</v>
      </c>
    </row>
    <row r="539" spans="1:10" ht="30" hidden="1" customHeight="1">
      <c r="A539" s="12" t="s">
        <v>1458</v>
      </c>
      <c r="B539" s="14" t="s">
        <v>925</v>
      </c>
      <c r="C539" s="12" t="s">
        <v>59</v>
      </c>
      <c r="D539" s="12" t="s">
        <v>1459</v>
      </c>
      <c r="E539" s="12">
        <v>30</v>
      </c>
      <c r="F539" s="16">
        <v>5000</v>
      </c>
      <c r="G539" s="12">
        <v>300</v>
      </c>
      <c r="H539" s="16">
        <v>8000</v>
      </c>
      <c r="I539" s="12" t="s">
        <v>210</v>
      </c>
      <c r="J539" s="12" t="s">
        <v>1460</v>
      </c>
    </row>
    <row r="540" spans="1:10" ht="30" hidden="1" customHeight="1">
      <c r="A540" s="12" t="s">
        <v>1461</v>
      </c>
      <c r="B540" s="14" t="s">
        <v>925</v>
      </c>
      <c r="C540" s="12" t="s">
        <v>563</v>
      </c>
      <c r="D540" s="12" t="s">
        <v>210</v>
      </c>
      <c r="E540" s="12" t="s">
        <v>1462</v>
      </c>
      <c r="F540" s="16">
        <v>6500</v>
      </c>
      <c r="G540" s="12">
        <v>465</v>
      </c>
      <c r="H540" s="12" t="s">
        <v>930</v>
      </c>
      <c r="I540" s="12" t="s">
        <v>210</v>
      </c>
      <c r="J540" s="12" t="s">
        <v>1463</v>
      </c>
    </row>
    <row r="541" spans="1:10" ht="30" hidden="1" customHeight="1">
      <c r="A541" s="12" t="s">
        <v>1464</v>
      </c>
      <c r="B541" s="14" t="s">
        <v>925</v>
      </c>
      <c r="C541" s="12" t="s">
        <v>59</v>
      </c>
      <c r="D541" s="12" t="s">
        <v>1465</v>
      </c>
      <c r="E541" s="12">
        <v>51.42</v>
      </c>
      <c r="F541" s="16">
        <v>5000</v>
      </c>
      <c r="G541" s="12">
        <v>320</v>
      </c>
      <c r="H541" s="16">
        <v>8000</v>
      </c>
      <c r="I541" s="12" t="s">
        <v>210</v>
      </c>
      <c r="J541" s="12" t="s">
        <v>1466</v>
      </c>
    </row>
    <row r="542" spans="1:10" ht="30" hidden="1" customHeight="1">
      <c r="A542" s="12" t="s">
        <v>1467</v>
      </c>
      <c r="B542" s="14" t="s">
        <v>925</v>
      </c>
      <c r="C542" s="12" t="s">
        <v>59</v>
      </c>
      <c r="D542" s="12" t="s">
        <v>210</v>
      </c>
      <c r="E542" s="12">
        <v>15.73</v>
      </c>
      <c r="F542" s="16">
        <v>6000</v>
      </c>
      <c r="G542" s="12">
        <v>140</v>
      </c>
      <c r="H542" s="12" t="s">
        <v>1468</v>
      </c>
      <c r="I542" s="12" t="s">
        <v>210</v>
      </c>
      <c r="J542" s="12" t="s">
        <v>1469</v>
      </c>
    </row>
    <row r="543" spans="1:10" ht="30" hidden="1" customHeight="1">
      <c r="A543" s="12" t="s">
        <v>1470</v>
      </c>
      <c r="B543" s="14" t="s">
        <v>925</v>
      </c>
      <c r="C543" s="12" t="s">
        <v>59</v>
      </c>
      <c r="D543" s="12" t="s">
        <v>1471</v>
      </c>
      <c r="E543" s="12">
        <v>45</v>
      </c>
      <c r="F543" s="16">
        <v>5000</v>
      </c>
      <c r="G543" s="12">
        <v>500</v>
      </c>
      <c r="H543" s="12" t="s">
        <v>930</v>
      </c>
      <c r="I543" s="12" t="s">
        <v>210</v>
      </c>
      <c r="J543" s="12" t="s">
        <v>1472</v>
      </c>
    </row>
    <row r="544" spans="1:10" ht="30" hidden="1" customHeight="1">
      <c r="A544" s="12" t="s">
        <v>1473</v>
      </c>
      <c r="B544" s="14" t="s">
        <v>925</v>
      </c>
      <c r="C544" s="12" t="s">
        <v>563</v>
      </c>
      <c r="D544" s="12" t="s">
        <v>210</v>
      </c>
      <c r="E544" s="12">
        <v>34</v>
      </c>
      <c r="F544" s="16">
        <v>9000</v>
      </c>
      <c r="G544" s="12">
        <v>650</v>
      </c>
      <c r="H544" s="12" t="s">
        <v>930</v>
      </c>
      <c r="I544" s="12" t="s">
        <v>210</v>
      </c>
      <c r="J544" s="12" t="s">
        <v>210</v>
      </c>
    </row>
    <row r="545" spans="1:10" ht="30" hidden="1" customHeight="1">
      <c r="A545" s="12" t="s">
        <v>1474</v>
      </c>
      <c r="B545" s="14" t="s">
        <v>925</v>
      </c>
      <c r="C545" s="12" t="s">
        <v>563</v>
      </c>
      <c r="D545" s="12" t="s">
        <v>210</v>
      </c>
      <c r="E545" s="12">
        <v>31</v>
      </c>
      <c r="F545" s="16">
        <v>10000</v>
      </c>
      <c r="G545" s="12">
        <v>950</v>
      </c>
      <c r="H545" s="12" t="s">
        <v>930</v>
      </c>
      <c r="I545" s="12" t="s">
        <v>210</v>
      </c>
      <c r="J545" s="12" t="s">
        <v>210</v>
      </c>
    </row>
    <row r="546" spans="1:10" ht="30" hidden="1" customHeight="1">
      <c r="A546" s="12" t="s">
        <v>1475</v>
      </c>
      <c r="B546" s="14" t="s">
        <v>925</v>
      </c>
      <c r="C546" s="12" t="s">
        <v>563</v>
      </c>
      <c r="D546" s="12" t="s">
        <v>210</v>
      </c>
      <c r="E546" s="12">
        <v>36</v>
      </c>
      <c r="F546" s="16">
        <v>15000</v>
      </c>
      <c r="G546" s="12">
        <v>950</v>
      </c>
      <c r="H546" s="12" t="s">
        <v>930</v>
      </c>
      <c r="I546" s="12" t="s">
        <v>210</v>
      </c>
      <c r="J546" s="12" t="s">
        <v>210</v>
      </c>
    </row>
    <row r="547" spans="1:10" ht="30" hidden="1" customHeight="1">
      <c r="A547" s="12" t="s">
        <v>1473</v>
      </c>
      <c r="B547" s="14" t="s">
        <v>925</v>
      </c>
      <c r="C547" s="12" t="s">
        <v>563</v>
      </c>
      <c r="D547" s="12" t="s">
        <v>210</v>
      </c>
      <c r="E547" s="12">
        <v>27</v>
      </c>
      <c r="F547" s="16">
        <v>6000</v>
      </c>
      <c r="G547" s="12">
        <v>500</v>
      </c>
      <c r="H547" s="12" t="s">
        <v>930</v>
      </c>
      <c r="I547" s="12" t="s">
        <v>210</v>
      </c>
      <c r="J547" s="12" t="s">
        <v>210</v>
      </c>
    </row>
    <row r="548" spans="1:10" ht="30" hidden="1" customHeight="1">
      <c r="A548" s="12" t="s">
        <v>1476</v>
      </c>
      <c r="B548" s="14" t="s">
        <v>925</v>
      </c>
      <c r="C548" s="12" t="s">
        <v>59</v>
      </c>
      <c r="D548" s="12" t="s">
        <v>1477</v>
      </c>
      <c r="E548" s="12">
        <v>45</v>
      </c>
      <c r="F548" s="16">
        <v>5000</v>
      </c>
      <c r="G548" s="12">
        <v>300</v>
      </c>
      <c r="H548" s="16">
        <v>3000</v>
      </c>
      <c r="I548" s="12">
        <v>20</v>
      </c>
      <c r="J548" s="12" t="s">
        <v>1478</v>
      </c>
    </row>
    <row r="549" spans="1:10" ht="30" hidden="1" customHeight="1">
      <c r="A549" s="12" t="s">
        <v>1479</v>
      </c>
      <c r="B549" s="14" t="s">
        <v>925</v>
      </c>
      <c r="C549" s="12" t="s">
        <v>59</v>
      </c>
      <c r="D549" s="12" t="s">
        <v>1480</v>
      </c>
      <c r="E549" s="12">
        <v>30</v>
      </c>
      <c r="F549" s="16">
        <v>3000</v>
      </c>
      <c r="G549" s="12">
        <v>220</v>
      </c>
      <c r="H549" s="16">
        <v>4500</v>
      </c>
      <c r="I549" s="12" t="s">
        <v>210</v>
      </c>
      <c r="J549" s="12" t="s">
        <v>1481</v>
      </c>
    </row>
    <row r="550" spans="1:10" ht="30" hidden="1" customHeight="1">
      <c r="A550" s="12" t="s">
        <v>1482</v>
      </c>
      <c r="B550" s="14" t="s">
        <v>925</v>
      </c>
      <c r="C550" s="12" t="s">
        <v>59</v>
      </c>
      <c r="D550" s="12" t="s">
        <v>1483</v>
      </c>
      <c r="E550" s="12">
        <v>37</v>
      </c>
      <c r="F550" s="16">
        <v>5000</v>
      </c>
      <c r="G550" s="12">
        <v>560</v>
      </c>
      <c r="H550" s="16">
        <v>7000</v>
      </c>
      <c r="I550" s="12" t="s">
        <v>210</v>
      </c>
      <c r="J550" s="12" t="s">
        <v>1484</v>
      </c>
    </row>
    <row r="551" spans="1:10" ht="30" hidden="1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</row>
    <row r="552" spans="1:10" ht="30" hidden="1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</row>
  </sheetData>
  <phoneticPr fontId="3" type="noConversion"/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52" r:id="rId30" xr:uid="{88788E4F-0902-41E8-A126-A2E3D620CA06}"/>
    <hyperlink ref="B82" r:id="rId31" xr:uid="{EE6C98EC-974C-4BFF-9385-CC4BDD0421F2}"/>
    <hyperlink ref="B83" r:id="rId32" xr:uid="{536D2672-8EFC-4CBB-B4D5-CE539FCBD587}"/>
    <hyperlink ref="B84" r:id="rId33" xr:uid="{19AF4C91-5EFA-49D5-8913-F6C6E3F7CE96}"/>
    <hyperlink ref="B85" r:id="rId34" xr:uid="{6C21A642-64A5-4F69-BECA-043A274092FC}"/>
    <hyperlink ref="B86" r:id="rId35" xr:uid="{09620413-08BA-4551-BCDF-8DE3CF101E2C}"/>
    <hyperlink ref="B87" r:id="rId36" xr:uid="{FB8E24E8-3485-4660-866A-C0D806040F53}"/>
    <hyperlink ref="B103" r:id="rId37" xr:uid="{C67451EA-1D3D-4AE0-96C2-ADA8731B87B2}"/>
    <hyperlink ref="B102" r:id="rId38" xr:uid="{FC9C169D-055E-4EDD-9958-5AB981F1EF03}"/>
    <hyperlink ref="B101" r:id="rId39" xr:uid="{9D23A7EA-5EBF-4366-A88B-64B4D0C89297}"/>
    <hyperlink ref="B100" r:id="rId40" xr:uid="{4964AAD7-B33F-42A4-86E8-1E195A5B317E}"/>
    <hyperlink ref="B99" r:id="rId41" xr:uid="{6A1B9C14-27FC-4845-B528-3CE55E2F7195}"/>
    <hyperlink ref="B98" r:id="rId42" xr:uid="{E4DBD2B2-6796-4F35-9127-480987697EB9}"/>
    <hyperlink ref="B97" r:id="rId43" xr:uid="{C5C2E6DA-8B62-4DC8-855F-9DFCEC084219}"/>
    <hyperlink ref="B96" r:id="rId44" xr:uid="{013CD6AB-88F9-4493-9E64-64CEDAFDCCB5}"/>
    <hyperlink ref="B95" r:id="rId45" xr:uid="{06733A1F-4CE5-41BC-A3DC-11CCA85EFFAC}"/>
    <hyperlink ref="B94" r:id="rId46" xr:uid="{4DA2F00F-E2EB-4485-A09B-1F9F6118AD5C}"/>
    <hyperlink ref="B93" r:id="rId47" xr:uid="{F8D907B1-5B20-4809-9933-24F3495E958A}"/>
    <hyperlink ref="B92" r:id="rId48" xr:uid="{F0878624-7082-4D12-AEF0-81E1033ED7B5}"/>
    <hyperlink ref="B91" r:id="rId49" xr:uid="{103D98DB-143C-4AD5-ADCF-1ACDC5981922}"/>
    <hyperlink ref="B90" r:id="rId50" xr:uid="{5D656F4D-DDC8-4CBE-BA5A-3C1EC74E4732}"/>
    <hyperlink ref="B89" r:id="rId51" xr:uid="{8BBA15B9-B9E4-4BAD-8090-7095D27F60E7}"/>
    <hyperlink ref="B88" r:id="rId52" xr:uid="{92DD157A-D3AF-4991-BEB2-0DEFF827D0BE}"/>
    <hyperlink ref="B73" r:id="rId53" xr:uid="{703A850E-1747-4884-8F69-BD61CC8B6774}"/>
    <hyperlink ref="B106" r:id="rId54" display="https://map.kakao.com/?q=%EC%9D%80%ED%8F%89%EA%B5%AC%20%EA%B0%88%ED%98%84%EB%8F%99%20453-9" xr:uid="{9F417585-7046-4105-8ADC-1ED43FB592B1}"/>
    <hyperlink ref="B107" r:id="rId55" xr:uid="{605A2E8D-1F05-4EFA-B127-C709E3B3E35B}"/>
    <hyperlink ref="B108" r:id="rId56" display="https://map.kakao.com/?q=%EC%9D%80%ED%8F%89%EA%B5%AC%20%EA%B0%88%ED%98%84%EB%8F%99%20453-10" xr:uid="{5310DE93-E14C-4B5B-999A-451D6D624CF4}"/>
    <hyperlink ref="B109" r:id="rId57" display="https://map.kakao.com/?q=%EC%9D%80%ED%8F%89%EA%B5%AC%20%EA%B0%88%ED%98%84%EB%8F%99%20452-25" xr:uid="{DD522117-3836-4532-BC71-18AEA4393B88}"/>
    <hyperlink ref="B110" r:id="rId58" display="https://map.kakao.com/?q=%EC%9D%80%ED%8F%89%EA%B5%AC%20%EA%B0%88%ED%98%84%EB%8F%99%20453-8" xr:uid="{25D278E3-F548-48F8-9966-434B9D866091}"/>
    <hyperlink ref="B111" r:id="rId59" display="https://map.kakao.com/?q=%EC%9D%80%ED%8F%89%EA%B5%AC%20%EA%B0%88%ED%98%84%EB%8F%99%20453-14" xr:uid="{3945BC69-9961-4510-93C1-A5280BF2974E}"/>
    <hyperlink ref="B112" r:id="rId60" display="https://map.kakao.com/?q=%EC%9D%80%ED%8F%89%EA%B5%AC%20%EA%B0%88%ED%98%84%EB%8F%99%20453-24" xr:uid="{A3377293-DE4B-4390-97C2-504D01A28258}"/>
    <hyperlink ref="B113" r:id="rId61" display="https://map.kakao.com/?q=%EC%9D%80%ED%8F%89%EA%B5%AC%20%EA%B0%88%ED%98%84%EB%8F%99%20453-25" xr:uid="{793C3CF2-235E-44B3-98EA-847AEC648871}"/>
    <hyperlink ref="B114" r:id="rId62" display="https://map.kakao.com/?q=%EC%86%A1%ED%8C%8C%EA%B5%AC%20%EB%A7%88%EC%B2%9C%EB%8F%99%20128-50" xr:uid="{D8532E12-8CC6-4550-A375-28D2BB4D003A}"/>
    <hyperlink ref="B115" r:id="rId63" display="https://map.kakao.com/?q=%EC%9D%80%ED%8F%89%EA%B5%AC%20%EA%B0%88%ED%98%84%EB%8F%99%20455-14" xr:uid="{0C445071-DAB0-4919-8493-DC18ECA616BD}"/>
    <hyperlink ref="B116" r:id="rId64" display="https://map.kakao.com/?q=%EC%9D%80%ED%8F%89%EA%B5%AC%20%EA%B0%88%ED%98%84%EB%8F%99%20430-4" xr:uid="{C1BFFA8A-5032-47EB-94AB-D05228619908}"/>
    <hyperlink ref="B117" r:id="rId65" display="https://map.kakao.com/?q=%EA%B0%95%EB%82%A8%EA%B5%AC%20%EC%9D%BC%EC%9B%90%EB%8F%99%20652-6" xr:uid="{62C019EF-9574-485B-B2CA-58A9AAC30709}"/>
    <hyperlink ref="B118" r:id="rId66" display="https://map.kakao.com/?q=%EC%9D%80%ED%8F%89%EA%B5%AC%20%EA%B0%88%ED%98%84%EB%8F%99%20453-11" xr:uid="{7B92C4C6-8E41-42E9-8E10-DE3A8DA4F3F4}"/>
    <hyperlink ref="B119" r:id="rId67" display="https://map.kakao.com/?q=%EC%9D%80%ED%8F%89%EA%B5%AC%20%EA%B0%88%ED%98%84%EB%8F%99%20400-4" xr:uid="{30F52ADC-00F6-4549-AB3B-00C13A723C99}"/>
    <hyperlink ref="B120" r:id="rId68" display="https://map.kakao.com/?q=%EC%9D%80%ED%8F%89%EA%B5%AC%20%EA%B0%88%ED%98%84%EB%8F%99%20456-24" xr:uid="{6DA735F0-5009-4D18-BE27-BE3D2461688C}"/>
    <hyperlink ref="B121" r:id="rId69" display="https://map.kakao.com/?q=%EC%9D%80%ED%8F%89%EA%B5%AC%20%EC%97%AD%EC%B4%8C%EB%8F%99%2016-2" xr:uid="{74EB5A8B-84E7-4C48-9485-A61B6FE2FA5C}"/>
    <hyperlink ref="B122" r:id="rId70" display="https://map.kakao.com/?q=%EC%9D%80%ED%8F%89%EA%B5%AC%20%EB%85%B9%EB%B2%88%EB%8F%99%20155-13" xr:uid="{ED3E1593-BAD8-4423-A0D0-8B73ACAAF89B}"/>
    <hyperlink ref="B123" r:id="rId71" display="https://map.kakao.com/?q=%EC%84%9C%EC%9A%B8%ED%8A%B9%EB%B3%84%EC%8B%9C%20%EC%9D%80%ED%8F%89%EA%B5%AC%20%EC%9D%91%EC%95%94%EB%8F%99%20577-30" xr:uid="{89F014AC-5E6F-4E5B-AEBD-17CB05C4218F}"/>
    <hyperlink ref="B124" r:id="rId72" display="https://map.kakao.com/?q=%EC%84%9C%EC%9A%B8%20%EA%B4%91%EC%A7%84%EA%B5%AC%20%EA%B4%91%EC%9E%A5%EB%8F%99%20331-3" xr:uid="{83F2BA1D-2CF8-45D5-80BE-249431B2BAE3}"/>
    <hyperlink ref="B125" r:id="rId73" display="https://map.kakao.com/?q=%EC%84%9C%EC%9A%B8%20%EA%B4%91%EC%A7%84%EA%B5%AC%20%EA%B4%91%EC%9E%A5%EB%8F%99%20326-13" xr:uid="{3910BDDB-0151-4596-A166-B3A63ACD3513}"/>
    <hyperlink ref="B177" r:id="rId74" xr:uid="{D8B69EFD-2EF9-4551-A731-978E5CE57217}"/>
    <hyperlink ref="B178" r:id="rId75" xr:uid="{E9017C1A-A47C-4B7E-9363-09AD48B890DA}"/>
    <hyperlink ref="B189" r:id="rId76" xr:uid="{BE89369D-8C62-4AAD-AF7C-BD003CA019EB}"/>
    <hyperlink ref="B229" r:id="rId77" xr:uid="{F88E03AF-5CC8-4F1F-BFB2-26C2F4806466}"/>
    <hyperlink ref="B235" r:id="rId78" xr:uid="{34D9C5E6-93FA-4BCE-968E-F101BCAE7377}"/>
    <hyperlink ref="B234" r:id="rId79" xr:uid="{C22684F3-38C1-4311-B335-8B1F1057B62B}"/>
    <hyperlink ref="B233" r:id="rId80" xr:uid="{42E0C3D0-581F-4656-8F82-1F9F7EC7ED29}"/>
    <hyperlink ref="B232" r:id="rId81" xr:uid="{9E84DAD5-3807-45D5-BB62-DF7A11AF2190}"/>
    <hyperlink ref="B231" r:id="rId82" xr:uid="{5CFEBBCB-1D22-48D3-8E02-09ACE189609B}"/>
    <hyperlink ref="B230" r:id="rId83" xr:uid="{20CB2649-2FB6-4412-9717-621B7B8A33D4}"/>
    <hyperlink ref="B237" r:id="rId84" xr:uid="{C7927704-10C6-41C8-BEA5-86BECD545252}"/>
    <hyperlink ref="B238" r:id="rId85" xr:uid="{527CB74D-05E5-4197-AA59-2A78914EC8A8}"/>
    <hyperlink ref="B239" r:id="rId86" xr:uid="{2627A8D1-3706-4AB4-B79C-AEA5145DDB1F}"/>
    <hyperlink ref="B244" r:id="rId87" xr:uid="{6FA52261-2F0E-4C03-8E92-D712540FE201}"/>
    <hyperlink ref="B297" r:id="rId88" xr:uid="{73184787-28F9-4234-91D2-C386D0FB826B}"/>
    <hyperlink ref="B296" r:id="rId89" xr:uid="{B463B139-572A-4F64-BA1A-8547BCB7BA41}"/>
    <hyperlink ref="B301" r:id="rId90" xr:uid="{0024C455-50B3-40D7-828F-92436A5E6BA5}"/>
    <hyperlink ref="B302" r:id="rId91" xr:uid="{08864742-0202-49A5-8C1A-85077B99B755}"/>
    <hyperlink ref="B303" r:id="rId92" xr:uid="{8D3BD36D-B567-4CAB-93F5-689A86276A1A}"/>
    <hyperlink ref="B306" r:id="rId93" xr:uid="{9A8A207D-71AB-4858-8A9C-E695A6298AE3}"/>
    <hyperlink ref="B314" r:id="rId94" xr:uid="{90F6A333-C87B-4413-9905-66AD8AF6EAA7}"/>
    <hyperlink ref="B323" r:id="rId95" display="https://map.kakao.com/link/search/%EC%B6%A9%EC%B2%AD%EB%B6%81%EB%8F%84 %EC%B2%AD%EC%A3%BC%EC%8B%9C %EC%83%81%EB%8B%B9%EA%B5%AC %EC%9A%A9%EB%8B%B4%EB%8F%99 391" xr:uid="{CF56595D-0255-405A-97F4-A6F3E2CA6213}"/>
    <hyperlink ref="B324" r:id="rId96" display="https://map.kakao.com/link/search/%EC%B6%A9%EC%B2%AD%EB%B6%81%EB%8F%84 %EC%B2%AD%EC%A3%BC%EC%8B%9C %EC%83%81%EB%8B%B9%EA%B5%AC %EC%9A%A9%EB%8B%B4%EB%8F%99 383" xr:uid="{6D19CD61-BD5B-42D6-B60D-3B83CA14088F}"/>
    <hyperlink ref="B325" r:id="rId97" display="https://map.kakao.com/link/search/%EC%B6%A9%EC%B2%AD%EB%B6%81%EB%8F%84 %EC%B2%AD%EC%A3%BC%EC%8B%9C %EC%83%81%EB%8B%B9%EA%B5%AC %EA%B8%88%EC%B2%9C%EB%8F%99 303" xr:uid="{A669A47A-C674-4D61-A514-CF83C0DD2121}"/>
    <hyperlink ref="B326" r:id="rId98" display="https://map.kakao.com/link/search/%EC%84%9C%EC%9A%B8%ED%8A%B9%EB%B3%84%EC%8B%9C %EC%9D%80%ED%8F%89%EA%B5%AC %EB%8C%80%EC%A1%B0%EB%8F%99 187-53" xr:uid="{CF389C68-942A-4529-9787-3BBEEA549E61}"/>
    <hyperlink ref="B327" r:id="rId99" display="https://map.kakao.com/link/search/%EC%84%9C%EC%9A%B8%ED%8A%B9%EB%B3%84%EC%8B%9C %EC%9D%80%ED%8F%89%EA%B5%AC %EC%9D%91%EC%95%94%EB%8F%99 88-23" xr:uid="{17FC90E6-12C1-468A-B9EB-E05D3EC21908}"/>
    <hyperlink ref="B328" r:id="rId100" display="https://map.kakao.com/link/search/%EC%84%9C%EC%9A%B8%ED%8A%B9%EB%B3%84%EC%8B%9C %EC%9D%80%ED%8F%89%EA%B5%AC %EC%9D%91%EC%95%94%EB%8F%99 88-28" xr:uid="{27B3AAC5-B73D-4F62-B9A8-BCAB1B2BA9D4}"/>
    <hyperlink ref="B329" r:id="rId101" display="https://map.kakao.com/link/search/%EC%84%9C%EC%9A%B8%ED%8A%B9%EB%B3%84%EC%8B%9C %EC%9D%80%ED%8F%89%EA%B5%AC %EC%9D%91%EC%95%94%EB%8F%99 109-32" xr:uid="{85799592-4C89-40BE-AED3-200184F6E060}"/>
    <hyperlink ref="B330" r:id="rId102" display="https://map.kakao.com/link/search/%EC%84%9C%EC%9A%B8%ED%8A%B9%EB%B3%84%EC%8B%9C %EC%9D%80%ED%8F%89%EA%B5%AC %EC%97%AD%EC%B4%8C%EB%8F%99 43-4" xr:uid="{36BA69BB-0D44-458F-88F2-2E3C79451466}"/>
    <hyperlink ref="B331" r:id="rId103" display="https://map.kakao.com/link/search/%EC%84%9C%EC%9A%B8%ED%8A%B9%EB%B3%84%EC%8B%9C %EC%9D%80%ED%8F%89%EA%B5%AC %EC%8B%A0%EC%82%AC%EB%8F%99 16-21" xr:uid="{AD20046B-B6C5-49FD-AFD5-FFF2423C0D5F}"/>
    <hyperlink ref="B332" r:id="rId104" display="https://map.kakao.com/link/search/%EC%84%9C%EC%9A%B8%ED%8A%B9%EB%B3%84%EC%8B%9C %EC%9D%80%ED%8F%89%EA%B5%AC %EC%9D%91%EC%95%94%EB%8F%99 577-30" xr:uid="{61C8C803-E5D8-4AE1-8526-24E01E2F9FC4}"/>
    <hyperlink ref="B333" r:id="rId105" display="https://map.kakao.com/link/search/%EC%84%9C%EC%9A%B8%ED%8A%B9%EB%B3%84%EC%8B%9C %EC%9D%80%ED%8F%89%EA%B5%AC %EC%9D%91%EC%95%94%EB%8F%99 597-9" xr:uid="{38CE78C6-0F5D-42B4-B5F7-BE0E53CEEB95}"/>
    <hyperlink ref="B334" r:id="rId106" display="https://map.kakao.com/link/search/%EC%84%9C%EC%9A%B8%ED%8A%B9%EB%B3%84%EC%8B%9C %EC%9D%80%ED%8F%89%EA%B5%AC %EC%9D%91%EC%95%94%EB%8F%99 602-45" xr:uid="{0127F26A-600C-490D-92B5-DAD64664F41D}"/>
    <hyperlink ref="B335" r:id="rId107" display="https://map.kakao.com/link/search/%EC%84%9C%EC%9A%B8%ED%8A%B9%EB%B3%84%EC%8B%9C %EC%9D%80%ED%8F%89%EA%B5%AC %EA%B0%88%ED%98%84%EB%8F%99 450-22" xr:uid="{880948FE-4B15-4DA4-B0EE-B354403321DC}"/>
    <hyperlink ref="B336" r:id="rId108" display="https://map.kakao.com/link/search/%EC%84%9C%EC%9A%B8%ED%8A%B9%EB%B3%84%EC%8B%9C %EC%9D%80%ED%8F%89%EA%B5%AC %EA%B0%88%ED%98%84%EB%8F%99 448-38" xr:uid="{1D0EE8CA-E69D-454B-A7B3-CB2A35CBD9CD}"/>
    <hyperlink ref="B340" r:id="rId109" display="https://map.kakao.com/?q=%EA%B2%BD%EA%B8%B0%20%EC%8B%9C%ED%9D%A5%EC%8B%9C%20%EB%8C%80%EC%95%BC%EB%8F%99%20529-3" xr:uid="{48B414C8-A9E8-4E66-95E5-3B896A9F5588}"/>
    <hyperlink ref="B341" r:id="rId110" display="https://map.kakao.com/?q=%EA%B8%88%EC%B2%9C%EA%B5%AC%20%EA%B0%80%EC%82%B0%EB%8F%99%2060-18" xr:uid="{4B46D834-6187-4C96-A0B5-114537A269D9}"/>
    <hyperlink ref="B342" r:id="rId111" display="https://map.kakao.com/?q=%EC%84%9C%EC%9A%B8%20%EC%86%A1%ED%8C%8C%EA%B5%AC%20%EA%B0%80%EB%9D%BD%EB%8F%99%20123" xr:uid="{AC9D1375-15EB-4DAE-A299-F9311C9CE0F2}"/>
    <hyperlink ref="B343" r:id="rId112" display="https://map.kakao.com/?q=%EB%82%A8%EB%8F%99%EA%B5%AC%20%EC%84%9C%EC%B0%BD%EB%8F%99%20708-4" xr:uid="{60565DA8-36E0-481E-AEE8-1C5B5C254DD1}"/>
    <hyperlink ref="B344" r:id="rId113" display="https://map.kakao.com/?q=%EC%84%9C%EC%9A%B8%20%EC%86%A1%ED%8C%8C%EA%B5%AC%20%EA%B0%80%EB%9D%BD%EB%8F%99%2073-3" xr:uid="{28799B3E-0DD9-4F3F-95D9-0E250AD70BF2}"/>
    <hyperlink ref="B345" r:id="rId114" display="https://map.kakao.com/?q=%EC%83%81%EB%A1%9D%EA%B5%AC%20%EC%82%AC%EB%8F%99%201423" xr:uid="{7BBECB62-FB63-4396-AD29-736392B198F3}"/>
    <hyperlink ref="B346" r:id="rId115" display="https://map.kakao.com/?q=%EC%83%81%EB%A1%9D%EA%B5%AC%20%EC%82%AC%EB%8F%99%201423-3" xr:uid="{7EF32DF5-22F2-412B-8637-09C3EF969C41}"/>
    <hyperlink ref="B347" r:id="rId116" display="https://map.kakao.com/?q=%EC%A4%91%EA%B5%AC%20%ED%99%A9%ED%95%99%EB%8F%99%201101-1" xr:uid="{4D17BD31-A97C-4017-8DAA-AC8775A26785}"/>
    <hyperlink ref="B348" r:id="rId117" display="https://map.kakao.com/?q=%EA%B5%B0%ED%8F%AC%EC%8B%9C%20%EC%82%B0%EB%B3%B8%EB%8F%99%201142-7" xr:uid="{165C8622-4C16-422F-A4F3-D96BE6D8C1D4}"/>
    <hyperlink ref="B349" r:id="rId118" display="https://map.kakao.com/?q=%EA%B5%B0%ED%8F%AC%EC%8B%9C%20%EC%82%B0%EB%B3%B8%EB%8F%99%201142-7" xr:uid="{C57569FD-FE45-477E-A55C-7D31C1B45F92}"/>
    <hyperlink ref="B350" r:id="rId119" display="https://map.kakao.com/?q=%EA%B5%B0%ED%8F%AC%EC%8B%9C%20%EC%82%B0%EB%B3%B8%EB%8F%99%201130-1" xr:uid="{5D5934DE-EDC0-4E0A-80F2-61184F37DBF1}"/>
    <hyperlink ref="B351" r:id="rId120" display="https://map.kakao.com/?q=%EC%86%A1%ED%8C%8C%EA%B5%AC%20%EA%B0%80%EB%9D%BD%EB%8F%99%20141-5" xr:uid="{E242D194-C355-4CA5-A878-19A39F399E1F}"/>
    <hyperlink ref="B352" r:id="rId121" display="https://map.kakao.com/?q=%EA%B4%91%EC%A7%84%EA%B5%AC%20%EB%8A%A5%EB%8F%99%20235-1" xr:uid="{4584CF22-3E6A-4A07-BD72-4A0DA5B2105F}"/>
    <hyperlink ref="B353" r:id="rId122" display="https://map.kakao.com/?q=%EC%86%A1%ED%8C%8C%EA%B5%AC%20%EA%B0%80%EB%9D%BD%EB%8F%99%2079" xr:uid="{E60CEA44-F605-4737-9461-AF4B401A5EE6}"/>
    <hyperlink ref="B354" r:id="rId123" display="https://map.kakao.com/?q=%EC%86%A1%ED%8C%8C%EA%B5%AC%20%EA%B0%80%EB%9D%BD%EB%8F%99%2081-6" xr:uid="{CCD65FDD-D037-47C9-B4F5-362A75DE6915}"/>
    <hyperlink ref="B355" r:id="rId124" display="https://map.kakao.com/?q=%EA%B0%95%EC%84%9C%EA%B5%AC%20%EB%A7%88%EA%B3%A1%EB%8F%99%20757-2" xr:uid="{1C822B0E-F162-4F80-8A02-390E6914158E}"/>
    <hyperlink ref="B356" r:id="rId125" display="https://map.kakao.com/?q=%EA%B0%95%EC%84%9C%EA%B5%AC%20%EB%A7%88%EA%B3%A1%EB%8F%99%20772-8" xr:uid="{8557CAA8-B235-490D-89A8-D49F6085376E}"/>
    <hyperlink ref="B357" r:id="rId126" display="https://map.kakao.com/?q=%EA%B0%95%EC%84%9C%EA%B5%AC%20%EB%A7%88%EA%B3%A1%EB%8F%99%20772-8" xr:uid="{A5428445-780D-4ACA-B23B-55882E4B1138}"/>
    <hyperlink ref="B358" r:id="rId127" display="https://map.kakao.com/?q=%EA%B0%95%EC%84%9C%EA%B5%AC%20%EB%A7%88%EA%B3%A1%EB%8F%99%20759-3" xr:uid="{CED83E4D-D7FF-4591-B83A-CCE4D741BF67}"/>
    <hyperlink ref="B359" r:id="rId128" display="https://map.kakao.com/?q=%EC%9D%B8%EC%B2%9C%EA%B4%91%EC%97%AD%EC%8B%9C%20%EB%82%A8%EB%8F%99%EA%B5%AC%20%EA%B0%84%EC%84%9D%EB%8F%99%20394-9" xr:uid="{0925216C-2ED9-44B2-8127-46D865A2DE96}"/>
    <hyperlink ref="B360" r:id="rId129" display="https://map.kakao.com/?q=%EC%83%81%EB%A1%9D%EA%B5%AC%20%EC%82%AC%EB%8F%99%201385-10" xr:uid="{6B8E8DC2-ED4A-48C4-824F-6CD91E6C5D73}"/>
    <hyperlink ref="B361" r:id="rId130" display="https://map.kakao.com/?q=%EC%9D%B8%EC%B2%9C%20%EB%B6%80%ED%8F%89%EA%B5%AC%20%EC%8B%AD%EC%A0%95%EB%8F%99%20408-11" xr:uid="{A23A4089-4083-42D9-A0CD-1C5848CA3641}"/>
    <hyperlink ref="B362" r:id="rId131" display="https://map.kakao.com/?q=%EC%9D%B8%EC%B2%9C%20%EB%B6%80%ED%8F%89%EA%B5%AC%20%EC%8B%AD%EC%A0%95%EB%8F%99%20419-10" xr:uid="{9195EE5C-C354-47E6-BBCB-617A8E92A8DD}"/>
    <hyperlink ref="B365" r:id="rId132" display="https://map.kakao.com/?q=%EC%A2%85%EB%A1%9C%EA%B5%AC%20%EA%B4%80%EC%B2%A0%EB%8F%99%2010-2" xr:uid="{FB55FD09-4E39-4E17-B9C1-66AD4DA84986}"/>
    <hyperlink ref="B366" r:id="rId133" display="https://map.kakao.com/?q=%EC%A2%85%EB%A1%9C%EA%B5%AC%20%EA%B4%80%EC%B2%A0%EB%8F%99%2011-24" xr:uid="{1AB7C413-2DBA-4EFD-AFE7-BD5773B58634}"/>
    <hyperlink ref="B367" r:id="rId134" display="https://map.kakao.com/?q=%EB%8F%99%EC%95%88%EA%B5%AC%20%EB%B9%84%EC%82%B0%EB%8F%99%201059" xr:uid="{10506529-9E88-4FCB-A212-BE3F2EADDAD0}"/>
    <hyperlink ref="B368" r:id="rId135" display="https://map.kakao.com/?q=%EC%A4%91%EA%B5%AC%20%EC%9D%84%EC%A7%80%EB%A1%9C3%EA%B0%80%20302-15" xr:uid="{81D6E9C9-0E2F-4DCC-8DE7-AFF62E545790}"/>
    <hyperlink ref="B369" r:id="rId136" display="https://map.kakao.com/?q=%EC%A4%91%EA%B5%AC%20%EC%9D%84%EC%A7%80%EB%A1%9C3%EA%B0%80%20334-20" xr:uid="{898163B2-0718-4D1F-AD95-B7C6A3746D76}"/>
    <hyperlink ref="B370" r:id="rId137" display="https://map.kakao.com/?q=%EB%8F%99%EC%95%88%EA%B5%AC%20%EB%B9%84%EC%82%B0%EB%8F%99%201059" xr:uid="{2615F3E2-15A5-4616-8C40-E0542AD6411F}"/>
    <hyperlink ref="B371" r:id="rId138" display="https://map.kakao.com/?q=%EC%84%9C%EC%9A%B8%ED%8A%B9%EB%B3%84%EC%8B%9C%20%EC%9D%80%ED%8F%89%EA%B5%AC%20%EA%B0%88%ED%98%84%EB%8F%99%20452-15" xr:uid="{92EA862F-BCF7-4FF7-8C2B-1ADFA6C9DE06}"/>
    <hyperlink ref="B372" r:id="rId139" display="https://map.kakao.com/?q=%EB%B6%80%ED%8F%89%EA%B5%AC%20%EC%B2%AD%EC%B2%9C%EB%8F%99%20190-3" xr:uid="{E1702031-B4D9-48CF-A44F-AB354063D19A}"/>
    <hyperlink ref="B373" r:id="rId140" display="https://map.kakao.com/?q=%EC%A4%91%EA%B5%AC%20%EC%A0%80%EB%8F%992%EA%B0%80%2016-3" xr:uid="{71395F6B-E3C4-4100-B378-8F87F8CAED7C}"/>
    <hyperlink ref="B374" r:id="rId141" display="https://map.kakao.com/?q=%EC%A4%91%EA%B5%AC%20%EC%B4%88%EB%8F%99%2019-4" xr:uid="{C567A1E8-8410-4094-99EE-B04A90326297}"/>
    <hyperlink ref="B375" r:id="rId142" display="https://map.kakao.com/?q=%EC%A4%91%EA%B5%AC%20%EC%9D%84%EC%A7%80%EB%A1%9C3%EA%B0%80%20350-1" xr:uid="{4CA5410A-DE8E-4CE3-9BB8-6A5C1CB02E7C}"/>
    <hyperlink ref="B376" r:id="rId143" display="https://map.kakao.com/?q=%EC%A4%91%EA%B5%AC%20%EC%A0%80%EB%8F%992%EA%B0%80%2076-7" xr:uid="{45E55137-762B-4AD1-AB8D-92DE5D355371}"/>
    <hyperlink ref="B377" r:id="rId144" display="https://map.kakao.com/?q=%EC%A4%91%EA%B5%AC%20%EC%B4%88%EB%8F%99%2019-9" xr:uid="{8FA63B6F-A4E0-4717-9BF4-D1660947BCCC}"/>
    <hyperlink ref="B378" r:id="rId145" display="https://map.kakao.com/?q=%EC%A4%91%EA%B5%AC%20%EC%9D%84%EC%A7%80%EB%A1%9C3%EA%B0%80%20296-25" xr:uid="{8173471A-BAEE-4E23-A06C-B97E8DD5EDB8}"/>
    <hyperlink ref="B379" r:id="rId146" display="https://map.kakao.com/?q=%EC%A4%91%EA%B5%AC%20%EC%B4%88%EB%8F%99%2021-12" xr:uid="{399E2293-A50B-431A-A989-54FB602C62CE}"/>
    <hyperlink ref="B380" r:id="rId147" display="https://map.kakao.com/?q=%EC%A4%91%EA%B5%AC%20%EC%9D%84%EC%A7%80%EB%A1%9C3%EA%B0%80%20342-1" xr:uid="{5B9465A8-F1E0-44E9-9059-1D5456BD53CF}"/>
    <hyperlink ref="B381" r:id="rId148" display="https://map.kakao.com/?q=%EA%B5%B0%ED%8F%AC%EC%8B%9C%20%EC%82%B0%EB%B3%B8%EB%8F%99%201123-3" xr:uid="{E4AF41F5-90AF-4846-B2CC-F47EDCE6F28C}"/>
    <hyperlink ref="B382" r:id="rId149" display="https://map.kakao.com/?q=%EA%B5%B0%ED%8F%AC%EC%8B%9C%20%EC%82%B0%EB%B3%B8%EB%8F%99%201142-2" xr:uid="{6DCA4645-2B7A-4A89-8721-B955FECF1AC6}"/>
    <hyperlink ref="B383" r:id="rId150" display="https://map.kakao.com/?q=%EA%B5%B0%ED%8F%AC%EC%8B%9C%20%EC%82%B0%EB%B3%B8%EB%8F%99%201142-8" xr:uid="{89C09E31-4668-4520-AE95-6B0F1E96FDE2}"/>
    <hyperlink ref="B384" r:id="rId151" display="https://map.kakao.com/?q=%EA%B5%B0%ED%8F%AC%EC%8B%9C%20%EC%82%B0%EB%B3%B8%EB%8F%99%201131-2" xr:uid="{6D50CB0D-1006-4C0E-A70A-E2896979B06C}"/>
    <hyperlink ref="B385" r:id="rId152" display="https://map.kakao.com/?q=%EA%B5%B0%ED%8F%AC%EC%8B%9C%20%EC%82%B0%EB%B3%B8%EB%8F%99%201137-3" xr:uid="{BC42CB1B-1AC0-4030-8EA9-B45FE2118B54}"/>
    <hyperlink ref="B386" r:id="rId153" display="https://map.kakao.com/?q=%EB%8F%99%EC%95%88%EA%B5%AC%20%EA%B4%80%EC%96%91%EB%8F%99%201501" xr:uid="{7459926B-4797-4CE6-B5AC-655C56ABE58A}"/>
    <hyperlink ref="B418" r:id="rId154" display="https://map.kakao.com/?q=%EC%84%9C%EC%9A%B8%20%EB%8F%99%EB%8C%80%EB%AC%B8%EA%B5%AC%20%EC%B2%AD%EB%9F%89%EB%A6%AC%EB%8F%99%20235-4" xr:uid="{138B9F22-459C-4823-B910-842C41299ADC}"/>
    <hyperlink ref="B419" r:id="rId155" display="https://map.kakao.com/?q=%EC%9D%B8%EC%B2%9C%20%EB%82%A8%EB%8F%99%EA%B5%AC%20%EB%A7%8C%EC%88%98%EB%8F%99%20884-9" xr:uid="{E73861C9-91EC-4F19-A484-AFF5DD0ACE85}"/>
    <hyperlink ref="B420" r:id="rId156" display="https://map.kakao.com/?q=%EC%84%9C%EC%9A%B8%20%EB%8F%99%EB%8C%80%EB%AC%B8%EA%B5%AC%20%EC%9D%B4%EB%AC%B8%EB%8F%99%20255-256" xr:uid="{2F5D3DE8-06B6-47AE-BCBA-6D955B16C45B}"/>
    <hyperlink ref="B421" r:id="rId157" display="https://map.kakao.com/?q=%EC%84%9C%EC%9A%B8%20%EB%8F%99%EB%8C%80%EB%AC%B8%EA%B5%AC%20%EC%9D%B4%EB%AC%B8%EB%8F%99%20255-256" xr:uid="{998C453A-B179-485E-BDB4-C140D883613D}"/>
    <hyperlink ref="B422" r:id="rId158" display="https://map.kakao.com/?q=%EC%84%9C%EC%9A%B8%20%EB%8F%99%EB%8C%80%EB%AC%B8%EA%B5%AC%20%EC%9D%B4%EB%AC%B8%EB%8F%99%20255-256" xr:uid="{BBC5EF74-F002-4865-946E-326A10865664}"/>
    <hyperlink ref="B423" r:id="rId159" display="https://map.kakao.com/?q=%EC%84%9C%EC%9A%B8%20%EB%8F%99%EB%8C%80%EB%AC%B8%EA%B5%AC%20%EC%9D%B4%EB%AC%B8%EB%8F%99%20257-42" xr:uid="{AC625943-B1ED-449A-B18F-C5125240FA10}"/>
    <hyperlink ref="B424" r:id="rId160" display="https://map.kakao.com/?q=%EC%9D%B8%EC%B2%9C%20%EB%82%A8%EB%8F%99%EA%B5%AC%20%EB%A7%8C%EC%88%98%EB%8F%99%20981" xr:uid="{F85CC9B2-23ED-4CEA-B6BA-6569418551F4}"/>
    <hyperlink ref="B425" r:id="rId161" display="https://map.kakao.com/?q=%EC%84%9C%EC%9A%B8%20%EB%8F%99%EB%8C%80%EB%AC%B8%EA%B5%AC%20%EC%9D%B4%EB%AC%B8%EB%8F%99%20305-6" xr:uid="{C1B6CB6E-8A61-45D3-BA44-162095AC08C2}"/>
    <hyperlink ref="B426" r:id="rId162" display="https://map.kakao.com/?q=%EC%84%9C%EC%9A%B8%20%EA%B0%95%EB%8F%99%EA%B5%AC%20%EC%95%94%EC%82%AC%EB%8F%99%20504-26" xr:uid="{2CDBFB76-2199-42FB-B8A6-91CDA78104F0}"/>
    <hyperlink ref="B427" r:id="rId163" display="https://map.kakao.com/?q=%EC%84%9C%EC%9A%B8%20%EB%8F%99%EB%8C%80%EB%AC%B8%EA%B5%AC%20%EC%9D%B4%EB%AC%B8%EB%8F%99%20257-17" xr:uid="{3A33389B-ECB2-4AF5-9E0A-29FFBEAB24BB}"/>
    <hyperlink ref="B428" r:id="rId164" display="https://map.kakao.com/?q=%EC%84%9C%EC%9A%B8%20%EB%8F%99%EB%8C%80%EB%AC%B8%EA%B5%AC%20%EC%9D%B4%EB%AC%B8%EB%8F%99%20263-10" xr:uid="{2A6913C4-07AD-4DBD-9850-E927676A9552}"/>
    <hyperlink ref="B429" r:id="rId165" display="https://map.kakao.com/?q=%EC%84%9C%EC%9A%B8%20%EB%8F%99%EB%8C%80%EB%AC%B8%EA%B5%AC%20%EC%9D%B4%EB%AC%B8%EB%8F%99%20257-42" xr:uid="{E8B4E628-8770-4C39-B3AA-5EF87B1BD5C4}"/>
    <hyperlink ref="B430" r:id="rId166" display="https://map.kakao.com/?q=%EC%84%9C%EC%9A%B8%20%EB%8F%99%EB%8C%80%EB%AC%B8%EA%B5%AC%20%EC%9D%B4%EB%AC%B8%EB%8F%99%20257-42" xr:uid="{87ECAD78-F2A9-4480-8763-65E0570148F8}"/>
    <hyperlink ref="B431" r:id="rId167" display="https://map.kakao.com/?q=%EC%84%9C%EC%9A%B8%20%EB%8F%99%EB%8C%80%EB%AC%B8%EA%B5%AC%20%EC%B2%AD%EB%9F%89%EB%A6%AC%EB%8F%99%20444-14" xr:uid="{CB1F96D4-FD41-409D-8F2A-8ED2BC4D2BCB}"/>
    <hyperlink ref="B433" r:id="rId168" display="https://map.kakao.com/?q=%EC%84%9C%EC%9A%B8%20%EB%8F%99%EB%8C%80%EB%AC%B8%EA%B5%AC%20%ED%9C%98%EA%B2%BD%EB%8F%99%20264-1" xr:uid="{BF720F84-9DF7-4E6D-B2E4-8DF49EAC249F}"/>
    <hyperlink ref="B435" r:id="rId169" display="https://map.kakao.com/?q=%EC%84%9C%EC%9A%B8%20%EC%A4%91%EB%9E%91%EA%B5%AC%20%EB%A9%B4%EB%AA%A9%EB%8F%99%20496-17" xr:uid="{65C40B85-96EA-4C46-821E-33047DF4B5A6}"/>
    <hyperlink ref="B436" r:id="rId170" display="https://map.kakao.com/?q=%EC%84%9C%EC%9A%B8%20%EC%A4%91%EB%9E%91%EA%B5%AC%20%EB%A9%B4%EB%AA%A9%EB%8F%99%20604-41" xr:uid="{16E7C115-9BD6-46AE-BCD7-303EC76045C2}"/>
    <hyperlink ref="B437" r:id="rId171" display="https://map.kakao.com/?q=%EA%B2%BD%EA%B8%B0%20%EC%8B%9C%ED%9D%A5%EC%8B%9C%20%EB%B0%B0%EA%B3%A7%EB%8F%99%20218" xr:uid="{D0DEB527-E460-4481-8BAE-EAFFC348F9B9}"/>
    <hyperlink ref="B438" r:id="rId172" display="https://map.kakao.com/?q=%EA%B2%BD%EA%B8%B0%20%EC%8B%9C%ED%9D%A5%EC%8B%9C%20%EB%B0%B0%EA%B3%A7%EB%8F%99%20218" xr:uid="{671FD0F8-A8CC-402A-9AD4-0EB4F7E77FD5}"/>
    <hyperlink ref="B439" r:id="rId173" display="https://map.kakao.com/?q=%EA%B2%BD%EA%B8%B0%20%EC%88%98%EC%9B%90%EC%8B%9C%20%EC%98%81%ED%86%B5%EA%B5%AC%20%EC%98%81%ED%86%B5%EB%8F%99%20975-10" xr:uid="{23DABB92-5C7F-4BDA-A6A1-C6ADD5C4AC43}"/>
    <hyperlink ref="B440" r:id="rId174" display="https://map.kakao.com/?q=%EA%B2%BD%EA%B8%B0%20%EC%95%88%EC%82%B0%EC%8B%9C%20%EC%83%81%EB%A1%9D%EA%B5%AC%20%EA%B1%B4%EA%B1%B4%EB%8F%99%20536-40" xr:uid="{F6E7AC3F-554D-405C-804F-4D3220AC2C49}"/>
    <hyperlink ref="B441" r:id="rId175" display="https://map.kakao.com/?q=%EA%B2%BD%EA%B8%B0%20%EC%95%88%EC%82%B0%EC%8B%9C%20%EC%83%81%EB%A1%9D%EA%B5%AC%20%EA%B1%B4%EA%B1%B4%EB%8F%99%20530-2" xr:uid="{97D2C9ED-0638-47BE-BFAF-805508F58383}"/>
    <hyperlink ref="B442" r:id="rId176" display="https://map.kakao.com/?q=%EA%B2%BD%EA%B8%B0%20%EC%95%88%EC%96%91%EC%8B%9C%20%EB%8F%99%EC%95%88%EA%B5%AC%20%EA%B4%80%EC%96%91%EB%8F%99%201725-1" xr:uid="{D60DADD2-7C77-47E0-A9EE-5904B21B94D8}"/>
    <hyperlink ref="B443" r:id="rId177" display="https://map.kakao.com/?q=%EC%84%9C%EC%9A%B8%20%EA%B4%80%EC%95%85%EA%B5%AC%20%EB%82%A8%ED%98%84%EB%8F%99%201060-2" xr:uid="{E1499D5B-8AFD-4725-AA45-476CD203304B}"/>
    <hyperlink ref="B444" r:id="rId178" display="https://map.kakao.com/?q=%EC%84%9C%EC%9A%B8%20%EA%B4%80%EC%95%85%EA%B5%AC%20%EB%B4%89%EC%B2%9C%EB%8F%99%201688-124" xr:uid="{2514B079-6D93-4CDA-9B2C-762FD643E164}"/>
    <hyperlink ref="B434" r:id="rId179" display="https://map.kakao.com/?q=%EC%84%9C%EC%9A%B8%20%EC%A4%91%EB%9E%91%EA%B5%AC%20%EB%A9%B4%EB%AA%A9%EB%8F%99%20496-15" xr:uid="{89CD6C77-C9DA-4581-BF6C-428BFBDA4F95}"/>
    <hyperlink ref="B432" r:id="rId180" display="https://map.kakao.com/?q=%EC%84%9C%EC%9A%B8%20%EB%8F%99%EB%8C%80%EB%AC%B8%EA%B5%AC%20%EC%9D%B4%EB%AC%B8%EB%8F%99%20363-5" xr:uid="{89D1493E-E838-4D4C-8BA2-4288BBB43504}"/>
    <hyperlink ref="B447" r:id="rId181" display="https://map.kakao.com/?q=%EC%84%9C%EC%9A%B8%20%EC%A4%91%EB%9E%91%EA%B5%AC%20%EC%83%81%EB%B4%89%EB%8F%99%20102" xr:uid="{99A61324-1C4F-4EC4-B44B-6A9A26BE03EE}"/>
    <hyperlink ref="B448" r:id="rId182" display="https://map.kakao.com/?q=%EC%84%9C%EC%9A%B8%20%EC%A4%91%EB%9E%91%EA%B5%AC%20%EC%83%81%EB%B4%89%EB%8F%99%20130" xr:uid="{9B9B16D7-36C8-4F79-BF69-87CEDE4135FD}"/>
    <hyperlink ref="B449" r:id="rId183" display="https://map.kakao.com/?q=%EC%84%9C%EC%9A%B8%20%EC%A4%91%EB%9E%91%EA%B5%AC%20%EC%83%81%EB%B4%89%EB%8F%99%20121-72" xr:uid="{A92AB547-8D59-410F-BB63-4969C4A0F06A}"/>
    <hyperlink ref="B450" r:id="rId184" display="https://map.kakao.com/?q=%EC%84%9C%EC%9A%B8%20%EC%A4%91%EB%9E%91%EA%B5%AC%20%EB%A9%B4%EB%AA%A9%EB%8F%99%2050-47" xr:uid="{6C7DB943-8DCA-48EB-98F5-32ED5F43268C}"/>
    <hyperlink ref="B451" r:id="rId185" display="https://map.kakao.com/?q=%EC%84%9C%EC%9A%B8%20%EC%A4%91%EB%9E%91%EA%B5%AC%20%EB%AC%B5%EB%8F%99%20176-14" xr:uid="{D91495A8-A63E-4FF7-AA5B-80DCCDFA84A2}"/>
    <hyperlink ref="B453" r:id="rId186" display="https://map.kakao.com/?q=%EC%84%9C%EC%9A%B8%20%EC%A4%91%EB%9E%91%EA%B5%AC%20%EB%AC%B5%EB%8F%99%20171-4" xr:uid="{CB2D166F-002D-4521-9791-3086D186AB3F}"/>
    <hyperlink ref="B454" r:id="rId187" display="https://map.kakao.com/?q=%EC%84%9C%EC%9A%B8%20%EC%84%9C%EC%B4%88%EA%B5%AC%20%EC%84%9C%EC%B4%88%EB%8F%99%201443-33" xr:uid="{ABC3D8FF-8AEF-4544-9512-5F2246700A49}"/>
    <hyperlink ref="B455" r:id="rId188" display="https://map.kakao.com/?q=%EC%84%9C%EC%9A%B8%20%EC%84%9C%EC%B4%88%EA%B5%AC%20%EC%84%9C%EC%B4%88%EB%8F%99%201443-11" xr:uid="{CA7E3EF3-2420-4282-AF08-A995C4C361F6}"/>
    <hyperlink ref="B456" r:id="rId189" display="https://map.kakao.com/?q=%EC%84%9C%EC%9A%B8%20%EA%B0%95%EB%82%A8%EA%B5%AC%20%EA%B0%9C%ED%8F%AC%EB%8F%99%201228-4" xr:uid="{079C79FE-992F-447D-9AC0-64064F5B08FE}"/>
    <hyperlink ref="B457" r:id="rId190" display="https://map.kakao.com/?q=%EC%84%9C%EC%9A%B8%20%EC%84%9C%EC%B4%88%EA%B5%AC%20%EC%84%9C%EC%B4%88%EB%8F%99%201342-4" xr:uid="{B5053CA0-1419-48A6-897B-E934E373C569}"/>
    <hyperlink ref="B458" r:id="rId191" display="https://map.kakao.com/?q=%EC%84%9C%EC%9A%B8%20%EA%B0%95%EB%82%A8%EA%B5%AC%20%EB%8F%84%EA%B3%A1%EB%8F%99%20953-1" xr:uid="{71C1D5AF-0F0A-4ACA-A068-04DA5734F116}"/>
    <hyperlink ref="B459" r:id="rId192" display="https://map.kakao.com/?q=%EC%84%9C%EC%9A%B8%20%EC%9A%A9%EC%82%B0%EA%B5%AC%20%EB%8F%99%EC%9E%90%EB%8F%99%2043-52" xr:uid="{7DDB629F-5AE3-4DC8-BA95-1A966EF32636}"/>
    <hyperlink ref="B462" r:id="rId193" display="https://map.kakao.com/?q=%EC%86%A1%ED%8C%8C%EA%B5%AC%20%EA%B0%80%EB%9D%BD%EB%8F%99%20123-7" xr:uid="{42CDC1DF-F52E-4D4C-80AF-BD78BF551812}"/>
    <hyperlink ref="B463" r:id="rId194" display="https://map.kakao.com/?q=%EA%B2%BD%EA%B8%B0%20%EB%B6%80%EC%B2%9C%EC%8B%9C%20%EC%9B%90%EB%AF%B8%EA%B5%AC%20%EC%97%AD%EA%B3%A1%EB%8F%99%2080-2" xr:uid="{09264464-D670-402A-B073-5EBAB3AF14EE}"/>
    <hyperlink ref="B464" r:id="rId195" display="https://map.kakao.com/?q=%EB%8F%99%EC%9E%91%EA%B5%AC%20%EC%83%81%EB%8F%84%EB%8F%99%2032-40" xr:uid="{FAA91803-E0CA-46F1-B34C-A107785AD8B6}"/>
    <hyperlink ref="B465" r:id="rId196" display="https://map.kakao.com/?q=%EB%8F%99%EC%9E%91%EA%B5%AC%20%EC%83%81%EB%8F%84%EB%8F%99%20159-26" xr:uid="{45576BD3-B411-407F-A243-7FEEAB01E41B}"/>
    <hyperlink ref="B466" r:id="rId197" display="https://map.kakao.com/?q=%EA%B4%91%EC%A7%84%EA%B5%AC%20%EC%9E%90%EC%96%91%EB%8F%99%20779-6" xr:uid="{D9DD355F-8E0F-487A-AE06-FA01459AC1A0}"/>
    <hyperlink ref="B467" r:id="rId198" display="https://map.kakao.com/?q=%EC%84%9C%EB%8C%80%EB%AC%B8%EA%B5%AC%20%EB%82%A8%EA%B0%80%EC%A2%8C%EB%8F%99%20293-85" xr:uid="{EA44BABD-E8CB-463F-A330-75FCB997B6E7}"/>
    <hyperlink ref="B468" r:id="rId199" display="https://map.kakao.com/?q=%EC%B2%98%EC%9D%B8%EA%B5%AC%20%EC%97%AD%EB%B6%81%EB%8F%99%20504-13" xr:uid="{E75C65A5-5694-44C0-8451-50BC8694DC14}"/>
    <hyperlink ref="B469" r:id="rId200" display="https://map.kakao.com/?q=%EC%9A%A9%EC%9D%B8%EC%8B%9C%20%EC%B2%98%EC%9D%B8%EA%B5%AC%20%EC%97%AD%EB%B6%81%EB%8F%99%20570-2" xr:uid="{26F6BFDD-0E88-470F-9EE5-866E6A117BDF}"/>
    <hyperlink ref="B470" r:id="rId201" display="https://map.kakao.com/?q=%EB%B6%80%EC%B2%9C%EC%8B%9C%20%EC%86%8C%EC%82%AC%EA%B5%AC%20%EA%B4%B4%EC%95%88%EB%8F%99%20111-41" xr:uid="{2161C800-5A4E-4F45-BFFB-02E940347394}"/>
    <hyperlink ref="B471" r:id="rId202" display="https://map.kakao.com/?q=%EC%9A%A9%EC%9D%B8%EC%8B%9C%20%EA%B8%B0%ED%9D%A5%EA%B5%AC%20%EB%B3%B4%EB%9D%BC%EB%8F%99%20578-4" xr:uid="{30082B90-30BC-47E5-B658-7B9C91D72EA5}"/>
    <hyperlink ref="B472" r:id="rId203" display="https://map.kakao.com/?q=%EB%B6%80%EC%B2%9C%EC%8B%9C%20%EC%86%8C%EC%82%AC%EA%B5%AC%20%EB%B2%94%EB%B0%95%EB%8F%99%20208-1" xr:uid="{E81A02B4-FF32-49AE-A8D1-137A47CCA33A}"/>
    <hyperlink ref="B473" r:id="rId204" display="https://map.kakao.com/?q=%EC%9A%A9%EC%9D%B8%EC%8B%9C%20%EC%B2%98%EC%9D%B8%EA%B5%AC%20%EC%97%AD%EB%B6%81%EB%8F%99%20723-5" xr:uid="{CE615E16-30BD-4143-8013-8AE65AD427B1}"/>
    <hyperlink ref="B474" r:id="rId205" display="https://map.kakao.com/?q=%EC%B2%98%EC%9D%B8%EA%B5%AC%20%EC%97%AD%EB%B6%81%EB%8F%99%20749" xr:uid="{308ABF7E-77B5-4B19-8554-D4F1E68DDDB1}"/>
    <hyperlink ref="B475" r:id="rId206" display="https://map.kakao.com/?q=%EC%B2%98%EC%9D%B8%EA%B5%AC%20%EC%97%AD%EB%B6%81%EB%8F%99%20752" xr:uid="{432293E9-9162-4E05-9EA5-5D76A85AE5C7}"/>
    <hyperlink ref="B476" r:id="rId207" display="https://map.kakao.com/?q=%EC%B2%98%EC%9D%B8%EA%B5%AC%20%EC%97%AD%EB%B6%81%EB%8F%99%20754-1" xr:uid="{A3C96D97-F0FC-4E34-870E-248DBF13B64A}"/>
    <hyperlink ref="B477" r:id="rId208" display="https://map.kakao.com/?q=%EC%B2%98%EC%9D%B8%EA%B5%AC%20%EC%97%AD%EB%B6%81%EB%8F%99%20750-2" xr:uid="{11678B39-F9F6-4A4F-B13C-A5DC65E75D93}"/>
    <hyperlink ref="B478" r:id="rId209" display="https://map.kakao.com/?q=%EC%B2%98%EC%9D%B8%EA%B5%AC%20%EC%97%AD%EB%B6%81%EB%8F%99%20748-2" xr:uid="{765EDE5F-1C61-4FCB-86BA-970354C1C55D}"/>
    <hyperlink ref="B479" r:id="rId210" display="https://map.kakao.com/?q=%EC%9D%B8%EC%B2%9C%20%EC%97%B0%EC%88%98%EA%B5%AC%20%EC%97%B0%EC%88%98%EB%8F%99%20596-6" xr:uid="{004D05D1-7857-4729-8E8C-1AE75C59F5CF}"/>
    <hyperlink ref="B480" r:id="rId211" display="https://map.kakao.com/?q=%EB%B6%80%EC%B2%9C%EC%8B%9C%20%EC%9B%90%EB%AF%B8%EA%B5%AC%20%EC%97%AD%EA%B3%A1%EB%8F%99%2078-7" xr:uid="{4EA70C82-ADED-4145-B6FE-735E3E10221C}"/>
    <hyperlink ref="B481" r:id="rId212" display="https://map.kakao.com/?q=%EA%B2%BD%EA%B8%B0%EB%8F%84%20%EC%9A%A9%EC%9D%B8%EC%8B%9C%20%EA%B8%B0%ED%9D%A5%EA%B5%AC%20%EB%B3%B4%EB%9D%BC%EB%8F%99%20576" xr:uid="{91D03D77-8B0E-4A0F-A301-A84331581D4C}"/>
    <hyperlink ref="B482" r:id="rId213" display="https://map.kakao.com/?q=%EC%9D%B8%EC%B2%9C%20%EC%97%B0%EC%88%98%EA%B5%AC%20%EC%97%B0%EC%88%98%EB%8F%99%20605-3" xr:uid="{31A5DD1E-90A5-4603-A769-1A7290141D52}"/>
    <hyperlink ref="B483" r:id="rId214" display="https://map.kakao.com/?q=%EC%9D%B8%EC%B2%9C%20%EC%97%B0%EC%88%98%EA%B5%AC%20%EC%97%B0%EC%88%98%EB%8F%99%20605-2" xr:uid="{5567A6B6-D38F-42A8-A1CB-29FAA2359C9D}"/>
    <hyperlink ref="B484" r:id="rId215" display="https://map.kakao.com/?q=%EC%9D%B8%EC%B2%9C%20%EC%97%B0%EC%88%98%EA%B5%AC%20%EC%97%B0%EC%88%98%EB%8F%99%20604-13" xr:uid="{EC8C9A0E-D127-4CCE-9E48-073CA408E794}"/>
    <hyperlink ref="B485" r:id="rId216" display="https://map.kakao.com/?q=%EC%9D%B8%EC%B2%9C%20%EC%97%B0%EC%88%98%EA%B5%AC%20%EC%97%B0%EC%88%98%EB%8F%99%20598-12" xr:uid="{EB59F098-1CBA-4D3D-BFF7-11C572941B02}"/>
    <hyperlink ref="B486" r:id="rId217" display="https://map.kakao.com/?q=%EC%9D%B8%EC%B2%9C%20%EC%97%B0%EC%88%98%EA%B5%AC%20%EC%86%A1%EB%8F%84%EB%8F%99%203-2" xr:uid="{9DE1FB2E-7C0E-4110-9127-65357923D75D}"/>
    <hyperlink ref="B487" r:id="rId218" display="https://map.kakao.com/?q=%EC%9D%B8%EC%B2%9C%20%EC%97%B0%EC%88%98%EA%B5%AC%20%EC%86%A1%EB%8F%84%EB%8F%99%2021-34" xr:uid="{41714FE9-559A-4AFE-9538-16D3A991C4C6}"/>
    <hyperlink ref="B488" r:id="rId219" display="https://map.kakao.com/?q=%EC%9D%B8%EC%B2%9C%20%EC%97%B0%EC%88%98%EA%B5%AC%20%EC%97%B0%EC%88%98%EB%8F%99%20605-1" xr:uid="{C30C30B5-7094-43B6-AADE-4E58A28D072B}"/>
    <hyperlink ref="B491" r:id="rId220" display="https://map.kakao.com/?q=%EA%B2%BD%EA%B8%B0%20%EC%9A%A9%EC%9D%B8%EC%8B%9C%20%EA%B8%B0%ED%9D%A5%EA%B5%AC%20%ED%95%9C%EB%B3%B4%EB%9D%BC2%EB%A1%9C%205-9" xr:uid="{CB271D2C-589E-4F55-8AED-D3E706B5DF17}"/>
    <hyperlink ref="B492" r:id="rId221" display="https://map.kakao.com/?q=%EA%B2%BD%EA%B8%B0%20%EC%9A%A9%EC%9D%B8%EC%8B%9C%20%EA%B8%B0%ED%9D%A5%EA%B5%AC%20%EB%B3%B4%EB%9D%BC%EB%8F%99%20587-2" xr:uid="{E31CBA61-181B-4962-87BB-110456F0A084}"/>
    <hyperlink ref="B493" r:id="rId222" display="https://map.kakao.com/?q=%EA%B2%BD%EA%B8%B0%20%EC%9A%A9%EC%9D%B8%EC%8B%9C%20%EC%B2%98%EC%9D%B8%EA%B5%AC%20%EC%97%AD%EB%B6%81%EB%8F%99%20723-1" xr:uid="{8212532D-4CF6-4C77-9C72-1077FAEAAF45}"/>
    <hyperlink ref="B494" r:id="rId223" display="https://map.kakao.com/?q=%EA%B2%BD%EA%B8%B0%20%EC%9A%A9%EC%9D%B8%EC%8B%9C%20%EC%B2%98%EC%9D%B8%EA%B5%AC%20%EC%97%AD%EB%B6%81%EB%8F%99%20754" xr:uid="{75478F41-B5F6-46C7-87F0-B5093F6B5AB0}"/>
    <hyperlink ref="B495" r:id="rId224" display="https://map.kakao.com/?q=%EA%B2%BD%EA%B8%B0%20%EC%9A%A9%EC%9D%B8%EC%8B%9C%20%EC%B2%98%EC%9D%B8%EA%B5%AC%20%EC%97%AD%EB%B6%81%EB%8F%99%20750-1" xr:uid="{6BE01C00-7627-4CAD-B16D-E5741103E50D}"/>
    <hyperlink ref="B496" r:id="rId225" display="https://map.kakao.com/?q=%EA%B2%BD%EA%B8%B0%20%EC%9A%A9%EC%9D%B8%EC%8B%9C%20%EC%B2%98%EC%9D%B8%EA%B5%AC%20%EC%97%AD%EB%B6%81%EB%8F%99%20763-7" xr:uid="{740A2097-EB34-4A80-BD74-32BD1D1CC9F7}"/>
    <hyperlink ref="B497" r:id="rId226" display="https://map.kakao.com/?q=%EC%9D%B8%EC%B2%9C%20%EC%97%B0%EC%88%98%EA%B5%AC%20%EC%97%B0%EC%88%98%EB%8F%99%20601-16" xr:uid="{97159E70-5366-43A4-B7D6-38F74FA940E4}"/>
    <hyperlink ref="B498" r:id="rId227" display="https://map.kakao.com/?q=%EA%B2%BD%EA%B8%B0%20%EC%9A%A9%EC%9D%B8%EC%8B%9C%20%EA%B8%B0%ED%9D%A5%EA%B5%AC%20%EB%B3%B4%EB%9D%BC%EB%8F%99%20607" xr:uid="{9C7061BD-9C09-4560-8AA2-0DA8A38B47A1}"/>
    <hyperlink ref="B499" r:id="rId228" display="https://map.kakao.com/?q=%EA%B2%BD%EA%B8%B0%20%EC%9A%A9%EC%9D%B8%EC%8B%9C%20%EA%B8%B0%ED%9D%A5%EA%B5%AC%20%EB%B3%B4%EB%9D%BC%EB%8F%99%20578-4" xr:uid="{A275B088-C395-400A-A682-10CD43BA77B5}"/>
    <hyperlink ref="B500" r:id="rId229" display="https://map.kakao.com/?q=%EA%B2%BD%EA%B8%B0%20%EC%9A%A9%EC%9D%B8%EC%8B%9C%20%EA%B8%B0%ED%9D%A5%EA%B5%AC%20%EB%B3%B4%EB%9D%BC%EB%8F%99%20579-2" xr:uid="{33743310-AEA9-4C99-A4C8-63FF789F9282}"/>
    <hyperlink ref="B503" r:id="rId230" display="https://map.kakao.com/?q=%EC%84%B1%EB%8F%99%EA%B5%AC%20%EC%84%B1%EC%88%98%EB%8F%992%EA%B0%80%20314-13" xr:uid="{F00623B0-277A-4279-882F-09896C6CEACE}"/>
    <hyperlink ref="B504" r:id="rId231" display="https://map.kakao.com/?q=%EC%84%B1%EB%8F%99%EA%B5%AC%20%EC%84%B1%EC%88%98%EB%8F%991%EA%B0%80%20656-98" xr:uid="{F3B337E2-4C6F-4D0B-8256-D23451754616}"/>
    <hyperlink ref="B505" r:id="rId232" display="https://map.kakao.com/?q=%EC%B2%98%EC%9D%B8%EA%B5%AC%20%EC%97%AD%EB%B6%81%EB%8F%99%20752" xr:uid="{31EA1BCB-6287-4879-9504-2AC039CF2B37}"/>
    <hyperlink ref="B506" r:id="rId233" display="https://map.kakao.com/?q=%EC%84%9C%EC%B4%88%EA%B5%AC%20%EC%84%9C%EC%B4%88%EB%8F%99%201659-18" xr:uid="{F4DFCEA7-F4F9-48DE-B4DE-32831114393C}"/>
    <hyperlink ref="B507" r:id="rId234" display="https://map.kakao.com/?q=%EB%8F%99%EC%95%88%EA%B5%AC%20%EA%B4%80%EC%96%91%EB%8F%99%201506-22" xr:uid="{63835D21-81A3-4107-B3F5-5BE0F1E26C71}"/>
    <hyperlink ref="B508" r:id="rId235" display="https://map.kakao.com/?q=%EB%8F%99%EC%95%88%EA%B5%AC%20%EA%B4%80%EC%96%91%EB%8F%99%201506-26" xr:uid="{830FA231-B922-4340-9C10-161CD6F5C4F6}"/>
    <hyperlink ref="B509" r:id="rId236" display="https://map.kakao.com/?q=%EC%88%98%EC%A0%95%EA%B5%AC%20%EC%8B%A0%ED%9D%A5%EB%8F%99%203436-11" xr:uid="{3C62D542-1E8B-40AB-B463-0B1C3E033435}"/>
    <hyperlink ref="B510" r:id="rId237" display="https://map.kakao.com/?q=%EC%9D%98%EC%99%95%EC%8B%9C%20%EC%82%BC%EB%8F%99%20146-81" xr:uid="{B807C12B-2B75-4D3C-BDA7-628B9A1A9C57}"/>
    <hyperlink ref="B511" r:id="rId238" display="https://map.kakao.com/?q=%EC%9D%98%EC%99%95%EC%8B%9C%20%EC%82%BC%EB%8F%99%20192-12" xr:uid="{25B1D9CF-FBEB-47D9-B897-C8265D0077F6}"/>
    <hyperlink ref="B512" r:id="rId239" display="https://map.kakao.com/?q=%EC%9D%98%EC%99%95%EC%8B%9C%20%EC%82%BC%EB%8F%99%20192-38" xr:uid="{58355141-B6D6-4572-8401-DE9EAFB90089}"/>
    <hyperlink ref="B513" r:id="rId240" display="https://map.kakao.com/?q=%EC%9D%98%EC%99%95%EC%8B%9C%20%EC%82%BC%EB%8F%99%20199-8" xr:uid="{AB3B08D7-1E24-4190-AE49-42F62D2E5085}"/>
    <hyperlink ref="B534" r:id="rId241" display="https://map.kakao.com/?q=%EA%B2%BD%EA%B8%B0%20%EA%B5%B0%ED%8F%AC%EC%8B%9C%20%ED%8F%89%EC%B4%8C%EB%8F%99%20904-2" xr:uid="{D421273B-4FEF-4A97-A8B7-E0EB83FEA391}"/>
    <hyperlink ref="B537" r:id="rId242" display="https://map.naver.com/v5/search/%EC%95%88%EC%96%91%EC%8B%9C %EB%8F%99%EC%95%88%EA%B5%AC %EB%B9%84%EC%82%B0%EB%8F%99 1059" xr:uid="{268B01EB-4476-423A-BCE7-ED804886F534}"/>
    <hyperlink ref="B538" r:id="rId243" display="https://map.naver.com/v5/search/%EC%9A%A9%EC%9D%B8%EC%8B%9C %EC%B2%98%EC%9D%B8%EA%B5%AC %EA%B9%80%EB%9F%89%EC%9E%A5%EB%8F%99 345-3" xr:uid="{8BEC7830-6D78-4A22-A069-2493781B88E3}"/>
    <hyperlink ref="B539" r:id="rId244" display="https://map.naver.com/v5/search/%EC%9A%A9%EC%9D%B8%EC%8B%9C %EC%B2%98%EC%9D%B8%EA%B5%AC %EA%B9%80%EB%9F%89%EC%9E%A5%EB%8F%99 140-24" xr:uid="{B349C9F3-761C-444B-B363-928945AD2DBE}"/>
    <hyperlink ref="B540" r:id="rId245" display="https://map.naver.com/v5/search/%EC%9A%A9%EC%9D%B8%EC%8B%9C %EC%B2%98%EC%9D%B8%EA%B5%AC %EB%82%A8%EB%8F%99 27-2" xr:uid="{A456AF2D-C911-453F-90BD-91CF82891FD6}"/>
    <hyperlink ref="B541" r:id="rId246" display="https://map.naver.com/v5/search/%EC%9A%A9%EC%9D%B8%EC%8B%9C %EC%B2%98%EC%9D%B8%EA%B5%AC %EA%B9%80%EB%9F%89%EC%9E%A5%EB%8F%99 254-370" xr:uid="{EFA70058-FC77-4F49-972E-12D6D5AF7ACC}"/>
    <hyperlink ref="B542" r:id="rId247" display="https://map.naver.com/v5/search/%EC%9A%A9%EC%9D%B8%EC%8B%9C %EC%B2%98%EC%9D%B8%EA%B5%AC %EA%B9%80%EB%9F%89%EC%9E%A5%EB%8F%99 314-7" xr:uid="{A4B0D6A6-7AFC-410A-B067-553BA2689AEE}"/>
    <hyperlink ref="B543" r:id="rId248" display="https://map.naver.com/v5/search/%EA%B2%BD%EA%B8%B0 %EC%8B%9C%ED%9D%A5%EC%8B%9C %EC%9E%A5%ED%98%84%EB%8F%99 545-4" xr:uid="{DBBA8124-AA79-4304-AC96-D8FF605AB885}"/>
    <hyperlink ref="B544" r:id="rId249" display="https://map.naver.com/v5/search/%EA%B2%BD%EA%B8%B0 %ED%95%98%EB%82%A8%EC%8B%9C %EB%A7%9D%EC%9B%94%EB%8F%99 1119-1" xr:uid="{1B844017-CE03-4BD0-B89F-2B3473B8BA78}"/>
    <hyperlink ref="B545" r:id="rId250" display="https://map.naver.com/v5/search/%EA%B2%BD%EA%B8%B0 %ED%95%98%EB%82%A8%EC%8B%9C %EB%A7%9D%EC%9B%94%EB%8F%99 1121" xr:uid="{4661FE49-DDED-4564-AA80-0120CC67F7B9}"/>
    <hyperlink ref="B546" r:id="rId251" display="https://map.naver.com/v5/search/%EA%B2%BD%EA%B8%B0 %ED%95%98%EB%82%A8%EC%8B%9C %EB%A7%9D%EC%9B%94%EB%8F%99 1134-2" xr:uid="{58D0FA6C-7F41-478F-8924-1ADEB7CBF686}"/>
    <hyperlink ref="B547" r:id="rId252" display="https://map.naver.com/v5/search/%EA%B2%BD%EA%B8%B0 %ED%95%98%EB%82%A8%EC%8B%9C %EB%A7%9D%EC%9B%94%EB%8F%99 1119-1" xr:uid="{ED8347B7-A7D2-478E-B92E-11D1FA76C39C}"/>
    <hyperlink ref="B548" r:id="rId253" display="https://map.naver.com/v5/search/%EA%B2%BD%EA%B8%B0 %EC%8B%9C%ED%9D%A5%EC%8B%9C %EC%9E%A5%ED%98%84%EB%8F%99 544-5" xr:uid="{132B7ED7-04F5-4ADE-B771-45B359B763DB}"/>
    <hyperlink ref="B549" r:id="rId254" display="https://map.naver.com/v5/search/%EA%B2%BD%EA%B8%B0 %EC%8B%9C%ED%9D%A5%EC%8B%9C %EC%9E%A5%EA%B3%A1%EB%8F%99 811-7" xr:uid="{F611E490-0E51-4AB7-BBA4-90B9721F7475}"/>
    <hyperlink ref="B550" r:id="rId255" display="https://map.naver.com/v5/search/%EC%84%9C%EC%9A%B8 %EC%86%A1%ED%8C%8C%EA%B5%AC %EB%AC%B8%EC%A0%95%EB%8F%99 644-2" xr:uid="{602ED628-B71C-4EFB-AA68-72A4EDBCB6A3}"/>
    <hyperlink ref="B126" r:id="rId256" display="https://map.kakao.com/?q=%EC%84%9C%EC%9A%B8%20%EA%B4%91%EC%A7%84%EA%B5%AC%20%EA%B4%91%EC%9E%A5%EB%8F%99%20331-3" xr:uid="{BFE2D4CE-BED6-4050-9257-06D9F01AEAC7}"/>
  </hyperlinks>
  <pageMargins left="0.7" right="0.7" top="0.75" bottom="0.75" header="0.3" footer="0.3"/>
  <tableParts count="1">
    <tablePart r:id="rId25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5382-8FAB-454E-BE57-3B0D24752C38}">
  <dimension ref="A1:K1370"/>
  <sheetViews>
    <sheetView tabSelected="1" topLeftCell="A1307" workbookViewId="0">
      <selection activeCell="B1351" sqref="B1351"/>
    </sheetView>
  </sheetViews>
  <sheetFormatPr defaultColWidth="28.69921875" defaultRowHeight="26.4" customHeight="1"/>
  <cols>
    <col min="1" max="16384" width="28.69921875" style="34"/>
  </cols>
  <sheetData>
    <row r="1" spans="1:10" ht="26.4" customHeight="1">
      <c r="A1" s="13" t="s">
        <v>0</v>
      </c>
      <c r="B1" s="13" t="s">
        <v>1452</v>
      </c>
      <c r="C1" s="13" t="s">
        <v>2</v>
      </c>
      <c r="D1" s="13" t="s">
        <v>1453</v>
      </c>
      <c r="E1" s="13" t="s">
        <v>3</v>
      </c>
      <c r="F1" s="13" t="s">
        <v>919</v>
      </c>
      <c r="G1" s="13" t="s">
        <v>920</v>
      </c>
      <c r="H1" s="13" t="s">
        <v>921</v>
      </c>
      <c r="I1" s="13" t="s">
        <v>922</v>
      </c>
      <c r="J1" s="13" t="s">
        <v>8</v>
      </c>
    </row>
    <row r="2" spans="1:10" ht="26.4" customHeight="1">
      <c r="A2" s="12" t="s">
        <v>1454</v>
      </c>
      <c r="B2" s="14" t="s">
        <v>925</v>
      </c>
      <c r="C2" s="12" t="s">
        <v>59</v>
      </c>
      <c r="D2" s="12" t="s">
        <v>1455</v>
      </c>
      <c r="E2" s="12">
        <v>36.1</v>
      </c>
      <c r="F2" s="16">
        <v>10000</v>
      </c>
      <c r="G2" s="12">
        <v>550</v>
      </c>
      <c r="H2" s="16">
        <v>5000</v>
      </c>
      <c r="I2" s="12" t="s">
        <v>210</v>
      </c>
      <c r="J2" s="12" t="s">
        <v>1456</v>
      </c>
    </row>
    <row r="3" spans="1:10" ht="26.4" customHeight="1">
      <c r="A3" s="12" t="s">
        <v>1457</v>
      </c>
      <c r="B3" s="14" t="s">
        <v>960</v>
      </c>
      <c r="C3" s="12" t="s">
        <v>59</v>
      </c>
      <c r="D3" s="12" t="s">
        <v>1493</v>
      </c>
      <c r="E3" s="12">
        <v>58</v>
      </c>
      <c r="F3" s="16">
        <v>3000</v>
      </c>
      <c r="G3" s="12">
        <v>160</v>
      </c>
      <c r="H3" s="16">
        <v>5000</v>
      </c>
      <c r="I3" s="12" t="s">
        <v>210</v>
      </c>
      <c r="J3" s="12" t="s">
        <v>210</v>
      </c>
    </row>
    <row r="4" spans="1:10" ht="26.4" customHeight="1">
      <c r="A4" s="12" t="s">
        <v>1458</v>
      </c>
      <c r="B4" s="14" t="s">
        <v>925</v>
      </c>
      <c r="C4" s="12" t="s">
        <v>59</v>
      </c>
      <c r="D4" s="12" t="s">
        <v>1459</v>
      </c>
      <c r="E4" s="12">
        <v>30</v>
      </c>
      <c r="F4" s="16">
        <v>5000</v>
      </c>
      <c r="G4" s="12">
        <v>300</v>
      </c>
      <c r="H4" s="16">
        <v>8000</v>
      </c>
      <c r="I4" s="12" t="s">
        <v>210</v>
      </c>
      <c r="J4" s="12" t="s">
        <v>1460</v>
      </c>
    </row>
    <row r="5" spans="1:10" ht="26.4" customHeight="1">
      <c r="A5" s="12" t="s">
        <v>1461</v>
      </c>
      <c r="B5" s="14" t="s">
        <v>925</v>
      </c>
      <c r="C5" s="12" t="s">
        <v>563</v>
      </c>
      <c r="D5" s="12" t="s">
        <v>210</v>
      </c>
      <c r="E5" s="12" t="s">
        <v>1462</v>
      </c>
      <c r="F5" s="16">
        <v>6500</v>
      </c>
      <c r="G5" s="12">
        <v>465</v>
      </c>
      <c r="H5" s="12" t="s">
        <v>1548</v>
      </c>
      <c r="I5" s="12" t="s">
        <v>210</v>
      </c>
      <c r="J5" s="12" t="s">
        <v>1463</v>
      </c>
    </row>
    <row r="6" spans="1:10" ht="26.4" customHeight="1">
      <c r="A6" s="12" t="s">
        <v>1464</v>
      </c>
      <c r="B6" s="14" t="s">
        <v>925</v>
      </c>
      <c r="C6" s="12" t="s">
        <v>59</v>
      </c>
      <c r="D6" s="12" t="s">
        <v>1465</v>
      </c>
      <c r="E6" s="12">
        <v>51.42</v>
      </c>
      <c r="F6" s="16">
        <v>5000</v>
      </c>
      <c r="G6" s="12">
        <v>320</v>
      </c>
      <c r="H6" s="16">
        <v>8000</v>
      </c>
      <c r="I6" s="12" t="s">
        <v>210</v>
      </c>
      <c r="J6" s="12" t="s">
        <v>1466</v>
      </c>
    </row>
    <row r="7" spans="1:10" ht="26.4" customHeight="1">
      <c r="A7" s="12" t="s">
        <v>1467</v>
      </c>
      <c r="B7" s="14" t="s">
        <v>925</v>
      </c>
      <c r="C7" s="12" t="s">
        <v>1494</v>
      </c>
      <c r="D7" s="12" t="s">
        <v>210</v>
      </c>
      <c r="E7" s="12">
        <v>15.73</v>
      </c>
      <c r="F7" s="16">
        <v>6000</v>
      </c>
      <c r="G7" s="12">
        <v>140</v>
      </c>
      <c r="H7" s="12" t="s">
        <v>1468</v>
      </c>
      <c r="I7" s="12" t="s">
        <v>210</v>
      </c>
      <c r="J7" s="12" t="s">
        <v>1469</v>
      </c>
    </row>
    <row r="8" spans="1:10" ht="26.4" customHeight="1">
      <c r="A8" s="12" t="s">
        <v>1470</v>
      </c>
      <c r="B8" s="14" t="s">
        <v>925</v>
      </c>
      <c r="C8" s="12" t="s">
        <v>1496</v>
      </c>
      <c r="D8" s="12" t="s">
        <v>1495</v>
      </c>
      <c r="E8" s="12">
        <v>45</v>
      </c>
      <c r="F8" s="16">
        <v>5000</v>
      </c>
      <c r="G8" s="12">
        <v>500</v>
      </c>
      <c r="H8" s="12" t="s">
        <v>1548</v>
      </c>
      <c r="I8" s="12" t="s">
        <v>210</v>
      </c>
      <c r="J8" s="12" t="s">
        <v>1472</v>
      </c>
    </row>
    <row r="9" spans="1:10" ht="26.4" customHeight="1">
      <c r="A9" s="12" t="s">
        <v>1473</v>
      </c>
      <c r="B9" s="14" t="s">
        <v>960</v>
      </c>
      <c r="C9" s="12" t="s">
        <v>563</v>
      </c>
      <c r="D9" s="12" t="s">
        <v>210</v>
      </c>
      <c r="E9" s="12">
        <v>34</v>
      </c>
      <c r="F9" s="16">
        <v>9000</v>
      </c>
      <c r="G9" s="12">
        <v>650</v>
      </c>
      <c r="H9" s="12" t="s">
        <v>1548</v>
      </c>
      <c r="I9" s="12" t="s">
        <v>210</v>
      </c>
      <c r="J9" s="12" t="s">
        <v>210</v>
      </c>
    </row>
    <row r="10" spans="1:10" ht="26.4" customHeight="1">
      <c r="A10" s="12" t="s">
        <v>1474</v>
      </c>
      <c r="B10" s="14" t="s">
        <v>925</v>
      </c>
      <c r="C10" s="12" t="s">
        <v>563</v>
      </c>
      <c r="D10" s="12" t="s">
        <v>210</v>
      </c>
      <c r="E10" s="12">
        <v>31</v>
      </c>
      <c r="F10" s="16">
        <v>10000</v>
      </c>
      <c r="G10" s="12">
        <v>950</v>
      </c>
      <c r="H10" s="12" t="s">
        <v>1548</v>
      </c>
      <c r="I10" s="12" t="s">
        <v>210</v>
      </c>
      <c r="J10" s="12" t="s">
        <v>210</v>
      </c>
    </row>
    <row r="11" spans="1:10" ht="26.4" customHeight="1">
      <c r="A11" s="12" t="s">
        <v>1475</v>
      </c>
      <c r="B11" s="14" t="s">
        <v>925</v>
      </c>
      <c r="C11" s="12" t="s">
        <v>563</v>
      </c>
      <c r="D11" s="12" t="s">
        <v>210</v>
      </c>
      <c r="E11" s="12">
        <v>36</v>
      </c>
      <c r="F11" s="16">
        <v>15000</v>
      </c>
      <c r="G11" s="12">
        <v>950</v>
      </c>
      <c r="H11" s="12" t="s">
        <v>1548</v>
      </c>
      <c r="I11" s="12" t="s">
        <v>210</v>
      </c>
      <c r="J11" s="12" t="s">
        <v>210</v>
      </c>
    </row>
    <row r="12" spans="1:10" ht="26.4" customHeight="1">
      <c r="A12" s="12" t="s">
        <v>1473</v>
      </c>
      <c r="B12" s="14" t="s">
        <v>925</v>
      </c>
      <c r="C12" s="12" t="s">
        <v>563</v>
      </c>
      <c r="D12" s="12" t="s">
        <v>210</v>
      </c>
      <c r="E12" s="12">
        <v>27</v>
      </c>
      <c r="F12" s="16">
        <v>6000</v>
      </c>
      <c r="G12" s="12">
        <v>500</v>
      </c>
      <c r="H12" s="12" t="s">
        <v>1548</v>
      </c>
      <c r="I12" s="12" t="s">
        <v>210</v>
      </c>
      <c r="J12" s="12" t="s">
        <v>210</v>
      </c>
    </row>
    <row r="13" spans="1:10" ht="26.4" customHeight="1">
      <c r="A13" s="12" t="s">
        <v>1476</v>
      </c>
      <c r="B13" s="14" t="s">
        <v>925</v>
      </c>
      <c r="C13" s="12" t="s">
        <v>59</v>
      </c>
      <c r="D13" s="12" t="s">
        <v>1477</v>
      </c>
      <c r="E13" s="12">
        <v>45</v>
      </c>
      <c r="F13" s="16">
        <v>5000</v>
      </c>
      <c r="G13" s="12">
        <v>300</v>
      </c>
      <c r="H13" s="16">
        <v>3000</v>
      </c>
      <c r="I13" s="12">
        <v>20</v>
      </c>
      <c r="J13" s="12" t="s">
        <v>1478</v>
      </c>
    </row>
    <row r="14" spans="1:10" ht="26.4" customHeight="1">
      <c r="A14" s="12" t="s">
        <v>1479</v>
      </c>
      <c r="B14" s="14" t="s">
        <v>925</v>
      </c>
      <c r="C14" s="12" t="s">
        <v>59</v>
      </c>
      <c r="D14" s="12" t="s">
        <v>1480</v>
      </c>
      <c r="E14" s="12">
        <v>30</v>
      </c>
      <c r="F14" s="16">
        <v>3000</v>
      </c>
      <c r="G14" s="12">
        <v>220</v>
      </c>
      <c r="H14" s="16">
        <v>4500</v>
      </c>
      <c r="I14" s="12" t="s">
        <v>210</v>
      </c>
      <c r="J14" s="12" t="s">
        <v>1481</v>
      </c>
    </row>
    <row r="15" spans="1:10" ht="26.4" customHeight="1">
      <c r="A15" s="12" t="s">
        <v>1482</v>
      </c>
      <c r="B15" s="14" t="s">
        <v>925</v>
      </c>
      <c r="C15" s="12" t="s">
        <v>59</v>
      </c>
      <c r="D15" s="12" t="s">
        <v>1483</v>
      </c>
      <c r="E15" s="12">
        <v>37</v>
      </c>
      <c r="F15" s="16">
        <v>5000</v>
      </c>
      <c r="G15" s="12">
        <v>560</v>
      </c>
      <c r="H15" s="16">
        <v>7000</v>
      </c>
      <c r="I15" s="12" t="s">
        <v>210</v>
      </c>
      <c r="J15" s="12" t="s">
        <v>1484</v>
      </c>
    </row>
    <row r="16" spans="1:10" ht="26.4" customHeight="1">
      <c r="A16" s="12" t="s">
        <v>1485</v>
      </c>
      <c r="B16" s="14" t="s">
        <v>925</v>
      </c>
      <c r="C16" s="12" t="s">
        <v>563</v>
      </c>
      <c r="D16" s="12" t="s">
        <v>210</v>
      </c>
      <c r="E16" s="12">
        <v>45</v>
      </c>
      <c r="F16" s="16">
        <v>10000</v>
      </c>
      <c r="G16" s="16">
        <v>1000</v>
      </c>
      <c r="H16" s="12" t="s">
        <v>210</v>
      </c>
      <c r="I16" s="12" t="s">
        <v>210</v>
      </c>
      <c r="J16" s="12" t="s">
        <v>1486</v>
      </c>
    </row>
    <row r="17" spans="1:10" ht="26.4" customHeight="1">
      <c r="A17" s="12" t="s">
        <v>1487</v>
      </c>
      <c r="B17" s="14" t="s">
        <v>925</v>
      </c>
      <c r="C17" s="12" t="s">
        <v>59</v>
      </c>
      <c r="D17" s="12" t="s">
        <v>1488</v>
      </c>
      <c r="E17" s="12">
        <v>36.9</v>
      </c>
      <c r="F17" s="16">
        <v>1000</v>
      </c>
      <c r="G17" s="12">
        <v>160</v>
      </c>
      <c r="H17" s="16">
        <v>6000</v>
      </c>
      <c r="I17" s="12" t="s">
        <v>210</v>
      </c>
      <c r="J17" s="12" t="s">
        <v>1489</v>
      </c>
    </row>
    <row r="18" spans="1:10" ht="26.4" customHeight="1">
      <c r="A18" s="12" t="s">
        <v>1490</v>
      </c>
      <c r="B18" s="14" t="s">
        <v>925</v>
      </c>
      <c r="C18" s="12" t="s">
        <v>563</v>
      </c>
      <c r="D18" s="12" t="s">
        <v>210</v>
      </c>
      <c r="E18" s="12">
        <v>25</v>
      </c>
      <c r="F18" s="16">
        <v>10000</v>
      </c>
      <c r="G18" s="12">
        <v>400</v>
      </c>
      <c r="H18" s="12" t="s">
        <v>1548</v>
      </c>
      <c r="I18" s="12" t="s">
        <v>210</v>
      </c>
      <c r="J18" s="12" t="s">
        <v>210</v>
      </c>
    </row>
    <row r="19" spans="1:10" ht="26.4" customHeight="1">
      <c r="A19" s="12" t="s">
        <v>1491</v>
      </c>
      <c r="B19" s="14" t="s">
        <v>925</v>
      </c>
      <c r="C19" s="12" t="s">
        <v>563</v>
      </c>
      <c r="D19" s="12" t="s">
        <v>210</v>
      </c>
      <c r="E19" s="12">
        <v>28</v>
      </c>
      <c r="F19" s="16">
        <v>3000</v>
      </c>
      <c r="G19" s="12">
        <v>180</v>
      </c>
      <c r="H19" s="12" t="s">
        <v>1548</v>
      </c>
      <c r="I19" s="12" t="s">
        <v>210</v>
      </c>
      <c r="J19" s="12" t="s">
        <v>1492</v>
      </c>
    </row>
    <row r="21" spans="1:10" ht="26.4" customHeight="1">
      <c r="A21" s="13" t="s">
        <v>1497</v>
      </c>
      <c r="B21" s="13" t="s">
        <v>1452</v>
      </c>
      <c r="C21" s="13" t="s">
        <v>2</v>
      </c>
      <c r="D21" s="13" t="s">
        <v>1453</v>
      </c>
      <c r="E21" s="13" t="s">
        <v>3</v>
      </c>
      <c r="F21" s="13" t="s">
        <v>919</v>
      </c>
      <c r="G21" s="13" t="s">
        <v>920</v>
      </c>
      <c r="H21" s="13" t="s">
        <v>921</v>
      </c>
      <c r="I21" s="13" t="s">
        <v>922</v>
      </c>
      <c r="J21" s="13" t="s">
        <v>8</v>
      </c>
    </row>
    <row r="22" spans="1:10" ht="26.4" customHeight="1">
      <c r="A22" s="12" t="s">
        <v>1498</v>
      </c>
      <c r="B22" s="14" t="s">
        <v>1499</v>
      </c>
      <c r="C22" s="12" t="s">
        <v>59</v>
      </c>
      <c r="D22" s="12" t="s">
        <v>1500</v>
      </c>
      <c r="E22" s="12">
        <v>30</v>
      </c>
      <c r="F22" s="16">
        <v>6000</v>
      </c>
      <c r="G22" s="12">
        <v>290</v>
      </c>
      <c r="H22" s="16">
        <v>4000</v>
      </c>
      <c r="I22" s="12" t="s">
        <v>1548</v>
      </c>
      <c r="J22" s="12" t="s">
        <v>1501</v>
      </c>
    </row>
    <row r="23" spans="1:10" ht="26.4" customHeight="1">
      <c r="A23" s="12" t="s">
        <v>1390</v>
      </c>
      <c r="B23" s="14" t="s">
        <v>1499</v>
      </c>
      <c r="C23" s="12" t="s">
        <v>59</v>
      </c>
      <c r="D23" s="12" t="s">
        <v>210</v>
      </c>
      <c r="E23" s="12">
        <v>20</v>
      </c>
      <c r="F23" s="16">
        <v>5000</v>
      </c>
      <c r="G23" s="12">
        <v>263</v>
      </c>
      <c r="H23" s="12" t="s">
        <v>1548</v>
      </c>
      <c r="I23" s="12">
        <v>33</v>
      </c>
      <c r="J23" s="12" t="s">
        <v>1502</v>
      </c>
    </row>
    <row r="24" spans="1:10" ht="26.4" customHeight="1">
      <c r="A24" s="12" t="s">
        <v>1547</v>
      </c>
      <c r="B24" s="14" t="s">
        <v>1499</v>
      </c>
      <c r="C24" s="12" t="s">
        <v>1503</v>
      </c>
      <c r="D24" s="12" t="s">
        <v>210</v>
      </c>
      <c r="E24" s="12">
        <v>25.5</v>
      </c>
      <c r="F24" s="16">
        <v>10000</v>
      </c>
      <c r="G24" s="12">
        <v>500</v>
      </c>
      <c r="H24" s="12" t="s">
        <v>1548</v>
      </c>
      <c r="I24" s="12" t="s">
        <v>210</v>
      </c>
      <c r="J24" s="12" t="s">
        <v>1504</v>
      </c>
    </row>
    <row r="25" spans="1:10" ht="26.4" customHeight="1">
      <c r="A25" s="12" t="s">
        <v>1505</v>
      </c>
      <c r="B25" s="14" t="s">
        <v>1499</v>
      </c>
      <c r="C25" s="12" t="s">
        <v>563</v>
      </c>
      <c r="D25" s="12" t="s">
        <v>210</v>
      </c>
      <c r="E25" s="12">
        <v>20</v>
      </c>
      <c r="F25" s="16">
        <v>5000</v>
      </c>
      <c r="G25" s="12">
        <v>400</v>
      </c>
      <c r="H25" s="12" t="s">
        <v>1548</v>
      </c>
      <c r="I25" s="12" t="s">
        <v>210</v>
      </c>
      <c r="J25" s="12" t="s">
        <v>210</v>
      </c>
    </row>
    <row r="26" spans="1:10" ht="26.4" customHeight="1">
      <c r="A26" s="12" t="s">
        <v>1506</v>
      </c>
      <c r="B26" s="14" t="s">
        <v>1499</v>
      </c>
      <c r="C26" s="12" t="s">
        <v>59</v>
      </c>
      <c r="D26" s="12" t="s">
        <v>1507</v>
      </c>
      <c r="E26" s="12">
        <v>35</v>
      </c>
      <c r="F26" s="16">
        <v>3000</v>
      </c>
      <c r="G26" s="12">
        <v>220</v>
      </c>
      <c r="H26" s="16">
        <v>4500</v>
      </c>
      <c r="I26" s="12">
        <v>30</v>
      </c>
      <c r="J26" s="12" t="s">
        <v>1508</v>
      </c>
    </row>
    <row r="27" spans="1:10" ht="26.4" customHeight="1">
      <c r="A27" s="12" t="s">
        <v>1509</v>
      </c>
      <c r="B27" s="14" t="s">
        <v>1499</v>
      </c>
      <c r="C27" s="12" t="s">
        <v>59</v>
      </c>
      <c r="D27" s="12" t="s">
        <v>1510</v>
      </c>
      <c r="E27" s="12">
        <v>20</v>
      </c>
      <c r="F27" s="16">
        <v>3000</v>
      </c>
      <c r="G27" s="12">
        <v>270</v>
      </c>
      <c r="H27" s="16">
        <v>4000</v>
      </c>
      <c r="I27" s="12">
        <v>20</v>
      </c>
      <c r="J27" s="12" t="s">
        <v>1511</v>
      </c>
    </row>
    <row r="28" spans="1:10" ht="26.4" customHeight="1">
      <c r="A28" s="12" t="s">
        <v>1512</v>
      </c>
      <c r="B28" s="14" t="s">
        <v>1544</v>
      </c>
      <c r="C28" s="12" t="s">
        <v>59</v>
      </c>
      <c r="D28" s="12" t="s">
        <v>1513</v>
      </c>
      <c r="E28" s="12">
        <v>25</v>
      </c>
      <c r="F28" s="16">
        <v>10000</v>
      </c>
      <c r="G28" s="12">
        <v>500</v>
      </c>
      <c r="H28" s="16">
        <v>20000</v>
      </c>
      <c r="I28" s="12" t="s">
        <v>210</v>
      </c>
      <c r="J28" s="12" t="s">
        <v>1514</v>
      </c>
    </row>
    <row r="29" spans="1:10" ht="26.4" customHeight="1">
      <c r="A29" s="12" t="s">
        <v>1515</v>
      </c>
      <c r="B29" s="14" t="s">
        <v>1544</v>
      </c>
      <c r="C29" s="12" t="s">
        <v>59</v>
      </c>
      <c r="D29" s="12" t="s">
        <v>1516</v>
      </c>
      <c r="E29" s="12">
        <v>40</v>
      </c>
      <c r="F29" s="16">
        <v>5000</v>
      </c>
      <c r="G29" s="12">
        <v>380</v>
      </c>
      <c r="H29" s="16">
        <v>10000</v>
      </c>
      <c r="I29" s="12" t="s">
        <v>210</v>
      </c>
      <c r="J29" s="12" t="s">
        <v>1517</v>
      </c>
    </row>
    <row r="30" spans="1:10" ht="26.4" customHeight="1">
      <c r="A30" s="12" t="s">
        <v>1518</v>
      </c>
      <c r="B30" s="14" t="s">
        <v>1544</v>
      </c>
      <c r="C30" s="12" t="s">
        <v>59</v>
      </c>
      <c r="D30" s="12" t="s">
        <v>1519</v>
      </c>
      <c r="E30" s="12">
        <v>25</v>
      </c>
      <c r="F30" s="16">
        <v>5000</v>
      </c>
      <c r="G30" s="12">
        <v>400</v>
      </c>
      <c r="H30" s="16">
        <v>15000</v>
      </c>
      <c r="I30" s="12" t="s">
        <v>210</v>
      </c>
      <c r="J30" s="12" t="s">
        <v>1543</v>
      </c>
    </row>
    <row r="31" spans="1:10" ht="26.4" customHeight="1">
      <c r="A31" s="12" t="s">
        <v>1520</v>
      </c>
      <c r="B31" s="14" t="s">
        <v>1499</v>
      </c>
      <c r="C31" s="12" t="s">
        <v>59</v>
      </c>
      <c r="D31" s="12" t="s">
        <v>1521</v>
      </c>
      <c r="E31" s="12">
        <v>21</v>
      </c>
      <c r="F31" s="16">
        <v>6000</v>
      </c>
      <c r="G31" s="12">
        <v>350</v>
      </c>
      <c r="H31" s="16">
        <v>5000</v>
      </c>
      <c r="I31" s="12" t="s">
        <v>210</v>
      </c>
      <c r="J31" s="12" t="s">
        <v>210</v>
      </c>
    </row>
    <row r="32" spans="1:10" ht="26.4" customHeight="1">
      <c r="A32" s="12" t="s">
        <v>1546</v>
      </c>
      <c r="B32" s="14" t="s">
        <v>1499</v>
      </c>
      <c r="C32" s="12" t="s">
        <v>59</v>
      </c>
      <c r="D32" s="12" t="s">
        <v>1522</v>
      </c>
      <c r="E32" s="12">
        <v>48</v>
      </c>
      <c r="F32" s="16">
        <v>10000</v>
      </c>
      <c r="G32" s="12">
        <v>600</v>
      </c>
      <c r="H32" s="12" t="s">
        <v>210</v>
      </c>
      <c r="I32" s="12" t="s">
        <v>210</v>
      </c>
      <c r="J32" s="12" t="s">
        <v>210</v>
      </c>
    </row>
    <row r="33" spans="1:10" ht="26.4" customHeight="1">
      <c r="A33" s="12" t="s">
        <v>1523</v>
      </c>
      <c r="B33" s="14" t="s">
        <v>1544</v>
      </c>
      <c r="C33" s="12" t="s">
        <v>59</v>
      </c>
      <c r="D33" s="12" t="s">
        <v>1524</v>
      </c>
      <c r="E33" s="12">
        <v>28</v>
      </c>
      <c r="F33" s="16">
        <v>10000</v>
      </c>
      <c r="G33" s="12">
        <v>420</v>
      </c>
      <c r="H33" s="16">
        <v>22000</v>
      </c>
      <c r="I33" s="12" t="s">
        <v>210</v>
      </c>
      <c r="J33" s="12" t="s">
        <v>210</v>
      </c>
    </row>
    <row r="34" spans="1:10" ht="26.4" customHeight="1">
      <c r="A34" s="12" t="s">
        <v>1525</v>
      </c>
      <c r="B34" s="14" t="s">
        <v>1544</v>
      </c>
      <c r="C34" s="12" t="s">
        <v>60</v>
      </c>
      <c r="D34" s="12" t="s">
        <v>1526</v>
      </c>
      <c r="E34" s="12">
        <v>40</v>
      </c>
      <c r="F34" s="16">
        <v>4000</v>
      </c>
      <c r="G34" s="12">
        <v>280</v>
      </c>
      <c r="H34" s="16">
        <v>10000</v>
      </c>
      <c r="I34" s="12">
        <v>10</v>
      </c>
      <c r="J34" s="12" t="s">
        <v>210</v>
      </c>
    </row>
    <row r="35" spans="1:10" ht="26.4" customHeight="1">
      <c r="A35" s="12" t="s">
        <v>1527</v>
      </c>
      <c r="B35" s="14" t="s">
        <v>1544</v>
      </c>
      <c r="C35" s="12" t="s">
        <v>60</v>
      </c>
      <c r="D35" s="12" t="s">
        <v>1528</v>
      </c>
      <c r="E35" s="12">
        <v>30</v>
      </c>
      <c r="F35" s="16">
        <v>6000</v>
      </c>
      <c r="G35" s="12">
        <v>500</v>
      </c>
      <c r="H35" s="16">
        <v>6000</v>
      </c>
      <c r="I35" s="12" t="s">
        <v>210</v>
      </c>
      <c r="J35" s="12" t="s">
        <v>210</v>
      </c>
    </row>
    <row r="36" spans="1:10" ht="26.4" customHeight="1">
      <c r="A36" s="12" t="s">
        <v>1529</v>
      </c>
      <c r="B36" s="14" t="s">
        <v>1499</v>
      </c>
      <c r="C36" s="12" t="s">
        <v>59</v>
      </c>
      <c r="D36" s="12" t="s">
        <v>1530</v>
      </c>
      <c r="E36" s="12">
        <v>30</v>
      </c>
      <c r="F36" s="16">
        <v>3000</v>
      </c>
      <c r="G36" s="12">
        <v>260</v>
      </c>
      <c r="H36" s="16">
        <v>5000</v>
      </c>
      <c r="I36" s="12" t="s">
        <v>210</v>
      </c>
      <c r="J36" s="12" t="s">
        <v>210</v>
      </c>
    </row>
    <row r="37" spans="1:10" ht="26.4" customHeight="1">
      <c r="A37" s="12" t="s">
        <v>1531</v>
      </c>
      <c r="B37" s="14" t="s">
        <v>1544</v>
      </c>
      <c r="C37" s="12" t="s">
        <v>110</v>
      </c>
      <c r="D37" s="12" t="s">
        <v>1545</v>
      </c>
      <c r="E37" s="12" t="s">
        <v>1532</v>
      </c>
      <c r="F37" s="16">
        <v>3500</v>
      </c>
      <c r="G37" s="12">
        <v>360</v>
      </c>
      <c r="H37" s="16">
        <v>18000</v>
      </c>
      <c r="I37" s="12" t="s">
        <v>210</v>
      </c>
      <c r="J37" s="12" t="s">
        <v>1533</v>
      </c>
    </row>
    <row r="38" spans="1:10" ht="26.4" customHeight="1">
      <c r="A38" s="12" t="s">
        <v>1534</v>
      </c>
      <c r="B38" s="14" t="s">
        <v>1544</v>
      </c>
      <c r="C38" s="12" t="s">
        <v>59</v>
      </c>
      <c r="D38" s="12" t="s">
        <v>1535</v>
      </c>
      <c r="E38" s="12">
        <v>30</v>
      </c>
      <c r="F38" s="16">
        <v>6000</v>
      </c>
      <c r="G38" s="12">
        <v>700</v>
      </c>
      <c r="H38" s="16">
        <v>24000</v>
      </c>
      <c r="I38" s="12" t="s">
        <v>210</v>
      </c>
      <c r="J38" s="12" t="s">
        <v>210</v>
      </c>
    </row>
    <row r="39" spans="1:10" ht="26.4" customHeight="1">
      <c r="A39" s="12" t="s">
        <v>1536</v>
      </c>
      <c r="B39" s="14" t="s">
        <v>1499</v>
      </c>
      <c r="C39" s="12" t="s">
        <v>59</v>
      </c>
      <c r="D39" s="12" t="s">
        <v>1537</v>
      </c>
      <c r="E39" s="12">
        <v>40</v>
      </c>
      <c r="F39" s="16">
        <v>10000</v>
      </c>
      <c r="G39" s="16">
        <v>1000</v>
      </c>
      <c r="H39" s="16">
        <v>20000</v>
      </c>
      <c r="I39" s="12" t="s">
        <v>210</v>
      </c>
      <c r="J39" s="12" t="s">
        <v>210</v>
      </c>
    </row>
    <row r="40" spans="1:10" ht="26.4" customHeight="1">
      <c r="A40" s="12" t="s">
        <v>1538</v>
      </c>
      <c r="B40" s="14" t="s">
        <v>1499</v>
      </c>
      <c r="C40" s="12" t="s">
        <v>59</v>
      </c>
      <c r="D40" s="12" t="s">
        <v>1539</v>
      </c>
      <c r="E40" s="12">
        <v>21</v>
      </c>
      <c r="F40" s="16">
        <v>10000</v>
      </c>
      <c r="G40" s="12">
        <v>430</v>
      </c>
      <c r="H40" s="16">
        <v>14000</v>
      </c>
      <c r="I40" s="12" t="s">
        <v>210</v>
      </c>
      <c r="J40" s="12" t="s">
        <v>1540</v>
      </c>
    </row>
    <row r="41" spans="1:10" ht="26.4" customHeight="1">
      <c r="A41" s="12" t="s">
        <v>1541</v>
      </c>
      <c r="B41" s="14" t="s">
        <v>1499</v>
      </c>
      <c r="C41" s="12" t="s">
        <v>563</v>
      </c>
      <c r="D41" s="12" t="s">
        <v>210</v>
      </c>
      <c r="E41" s="12">
        <v>94</v>
      </c>
      <c r="F41" s="16">
        <v>20000</v>
      </c>
      <c r="G41" s="16">
        <v>1400</v>
      </c>
      <c r="H41" s="12" t="s">
        <v>1548</v>
      </c>
      <c r="I41" s="12">
        <v>200</v>
      </c>
      <c r="J41" s="12" t="s">
        <v>1542</v>
      </c>
    </row>
    <row r="43" spans="1:10" ht="26.4" customHeight="1">
      <c r="A43" s="13" t="s">
        <v>0</v>
      </c>
      <c r="B43" s="13" t="s">
        <v>925</v>
      </c>
      <c r="C43" s="13" t="s">
        <v>1549</v>
      </c>
      <c r="D43" s="13" t="s">
        <v>1453</v>
      </c>
      <c r="E43" s="13" t="s">
        <v>1550</v>
      </c>
      <c r="F43" s="13" t="s">
        <v>919</v>
      </c>
      <c r="G43" s="13" t="s">
        <v>1551</v>
      </c>
      <c r="H43" s="13" t="s">
        <v>921</v>
      </c>
      <c r="I43" s="13" t="s">
        <v>922</v>
      </c>
      <c r="J43" s="13" t="s">
        <v>8</v>
      </c>
    </row>
    <row r="44" spans="1:10" ht="26.4" customHeight="1">
      <c r="A44" s="12" t="s">
        <v>1552</v>
      </c>
      <c r="B44" s="14" t="s">
        <v>960</v>
      </c>
      <c r="C44" s="12" t="s">
        <v>59</v>
      </c>
      <c r="D44" s="12" t="s">
        <v>1553</v>
      </c>
      <c r="E44" s="12">
        <v>17.57</v>
      </c>
      <c r="F44" s="16">
        <v>5000</v>
      </c>
      <c r="G44" s="12">
        <v>160</v>
      </c>
      <c r="H44" s="16">
        <v>7000</v>
      </c>
      <c r="I44" s="12" t="s">
        <v>210</v>
      </c>
      <c r="J44" s="12" t="s">
        <v>1554</v>
      </c>
    </row>
    <row r="45" spans="1:10" ht="26.4" customHeight="1">
      <c r="A45" s="12" t="s">
        <v>1555</v>
      </c>
      <c r="B45" s="14" t="s">
        <v>960</v>
      </c>
      <c r="C45" s="12" t="s">
        <v>59</v>
      </c>
      <c r="D45" s="12" t="s">
        <v>1588</v>
      </c>
      <c r="E45" s="12">
        <v>15</v>
      </c>
      <c r="F45" s="16">
        <v>2000</v>
      </c>
      <c r="G45" s="12">
        <v>150</v>
      </c>
      <c r="H45" s="16">
        <v>3000</v>
      </c>
      <c r="I45" s="12" t="s">
        <v>210</v>
      </c>
      <c r="J45" s="12" t="s">
        <v>1557</v>
      </c>
    </row>
    <row r="46" spans="1:10" ht="26.4" customHeight="1">
      <c r="A46" s="12" t="s">
        <v>1558</v>
      </c>
      <c r="B46" s="14" t="s">
        <v>960</v>
      </c>
      <c r="C46" s="12" t="s">
        <v>60</v>
      </c>
      <c r="D46" s="12" t="s">
        <v>1559</v>
      </c>
      <c r="E46" s="12">
        <v>18</v>
      </c>
      <c r="F46" s="16">
        <v>3000</v>
      </c>
      <c r="G46" s="12">
        <v>100</v>
      </c>
      <c r="H46" s="16">
        <v>3000</v>
      </c>
      <c r="I46" s="12" t="s">
        <v>210</v>
      </c>
      <c r="J46" s="12" t="s">
        <v>1560</v>
      </c>
    </row>
    <row r="47" spans="1:10" ht="26.4" customHeight="1">
      <c r="A47" s="12" t="s">
        <v>1561</v>
      </c>
      <c r="B47" s="14" t="s">
        <v>960</v>
      </c>
      <c r="C47" s="12" t="s">
        <v>60</v>
      </c>
      <c r="D47" s="12" t="s">
        <v>1562</v>
      </c>
      <c r="E47" s="12">
        <v>30</v>
      </c>
      <c r="F47" s="16">
        <v>2000</v>
      </c>
      <c r="G47" s="12">
        <v>150</v>
      </c>
      <c r="H47" s="12">
        <v>500</v>
      </c>
      <c r="I47" s="12" t="s">
        <v>210</v>
      </c>
      <c r="J47" s="12" t="s">
        <v>1563</v>
      </c>
    </row>
    <row r="48" spans="1:10" ht="26.4" customHeight="1">
      <c r="A48" s="12" t="s">
        <v>1564</v>
      </c>
      <c r="B48" s="14" t="s">
        <v>960</v>
      </c>
      <c r="C48" s="12" t="s">
        <v>59</v>
      </c>
      <c r="D48" s="12" t="s">
        <v>1565</v>
      </c>
      <c r="E48" s="12">
        <v>15</v>
      </c>
      <c r="F48" s="16">
        <v>10000</v>
      </c>
      <c r="G48" s="12">
        <v>600</v>
      </c>
      <c r="H48" s="12" t="s">
        <v>210</v>
      </c>
      <c r="I48" s="12" t="s">
        <v>210</v>
      </c>
      <c r="J48" s="12" t="s">
        <v>1566</v>
      </c>
    </row>
    <row r="49" spans="1:10" ht="26.4" customHeight="1">
      <c r="A49" s="12" t="s">
        <v>1567</v>
      </c>
      <c r="B49" s="14" t="s">
        <v>960</v>
      </c>
      <c r="C49" s="12" t="s">
        <v>59</v>
      </c>
      <c r="D49" s="12" t="s">
        <v>1568</v>
      </c>
      <c r="E49" s="12">
        <v>28</v>
      </c>
      <c r="F49" s="16">
        <v>3000</v>
      </c>
      <c r="G49" s="12">
        <v>230</v>
      </c>
      <c r="H49" s="16">
        <v>6000</v>
      </c>
      <c r="I49" s="12" t="s">
        <v>210</v>
      </c>
      <c r="J49" s="12"/>
    </row>
    <row r="50" spans="1:10" ht="26.4" customHeight="1">
      <c r="A50" s="12" t="s">
        <v>1569</v>
      </c>
      <c r="B50" s="14" t="s">
        <v>925</v>
      </c>
      <c r="C50" s="12" t="s">
        <v>59</v>
      </c>
      <c r="D50" s="12" t="s">
        <v>1570</v>
      </c>
      <c r="E50" s="12">
        <v>60</v>
      </c>
      <c r="F50" s="16">
        <v>10000</v>
      </c>
      <c r="G50" s="12">
        <v>450</v>
      </c>
      <c r="H50" s="16">
        <v>5000</v>
      </c>
      <c r="I50" s="12" t="s">
        <v>210</v>
      </c>
      <c r="J50" s="12" t="s">
        <v>1571</v>
      </c>
    </row>
    <row r="51" spans="1:10" ht="26.4" customHeight="1">
      <c r="A51" s="12" t="s">
        <v>1572</v>
      </c>
      <c r="B51" s="14" t="s">
        <v>960</v>
      </c>
      <c r="C51" s="12" t="s">
        <v>59</v>
      </c>
      <c r="D51" s="12" t="s">
        <v>1573</v>
      </c>
      <c r="E51" s="12">
        <v>20</v>
      </c>
      <c r="F51" s="16">
        <v>5000</v>
      </c>
      <c r="G51" s="12">
        <v>330</v>
      </c>
      <c r="H51" s="12" t="s">
        <v>210</v>
      </c>
      <c r="I51" s="12">
        <v>47</v>
      </c>
      <c r="J51" s="13" t="s">
        <v>1574</v>
      </c>
    </row>
    <row r="52" spans="1:10" ht="26.4" customHeight="1">
      <c r="A52" s="12" t="s">
        <v>1572</v>
      </c>
      <c r="B52" s="14" t="s">
        <v>925</v>
      </c>
      <c r="C52" s="12" t="s">
        <v>59</v>
      </c>
      <c r="D52" s="12" t="s">
        <v>1573</v>
      </c>
      <c r="E52" s="12">
        <v>22.99</v>
      </c>
      <c r="F52" s="16">
        <v>10000</v>
      </c>
      <c r="G52" s="12">
        <v>450</v>
      </c>
      <c r="H52" s="12" t="s">
        <v>210</v>
      </c>
      <c r="I52" s="12">
        <v>51</v>
      </c>
      <c r="J52" s="13" t="s">
        <v>1574</v>
      </c>
    </row>
    <row r="53" spans="1:10" ht="26.4" customHeight="1">
      <c r="A53" s="12" t="s">
        <v>1575</v>
      </c>
      <c r="B53" s="14" t="s">
        <v>960</v>
      </c>
      <c r="C53" s="12" t="s">
        <v>59</v>
      </c>
      <c r="D53" s="12" t="s">
        <v>1556</v>
      </c>
      <c r="E53" s="12">
        <v>25</v>
      </c>
      <c r="F53" s="16">
        <v>10000</v>
      </c>
      <c r="G53" s="12">
        <v>700</v>
      </c>
      <c r="H53" s="16">
        <v>25000</v>
      </c>
      <c r="I53" s="12" t="s">
        <v>210</v>
      </c>
      <c r="J53" s="12" t="s">
        <v>1576</v>
      </c>
    </row>
    <row r="54" spans="1:10" ht="26.4" customHeight="1">
      <c r="A54" s="12" t="s">
        <v>1577</v>
      </c>
      <c r="B54" s="14" t="s">
        <v>960</v>
      </c>
      <c r="C54" s="12" t="s">
        <v>59</v>
      </c>
      <c r="D54" s="12" t="s">
        <v>1578</v>
      </c>
      <c r="E54" s="12">
        <v>30</v>
      </c>
      <c r="F54" s="16">
        <v>6000</v>
      </c>
      <c r="G54" s="12">
        <v>500</v>
      </c>
      <c r="H54" s="16">
        <v>15000</v>
      </c>
      <c r="I54" s="12" t="s">
        <v>210</v>
      </c>
      <c r="J54" s="12" t="s">
        <v>1579</v>
      </c>
    </row>
    <row r="55" spans="1:10" ht="26.4" customHeight="1">
      <c r="A55" s="12" t="s">
        <v>1580</v>
      </c>
      <c r="B55" s="14" t="s">
        <v>960</v>
      </c>
      <c r="C55" s="12" t="s">
        <v>59</v>
      </c>
      <c r="D55" s="12" t="s">
        <v>1581</v>
      </c>
      <c r="E55" s="12">
        <v>31</v>
      </c>
      <c r="F55" s="16">
        <v>10000</v>
      </c>
      <c r="G55" s="12">
        <v>500</v>
      </c>
      <c r="H55" s="16">
        <v>5000</v>
      </c>
      <c r="I55" s="12">
        <v>100</v>
      </c>
      <c r="J55" s="12" t="s">
        <v>1582</v>
      </c>
    </row>
    <row r="56" spans="1:10" ht="26.4" customHeight="1">
      <c r="A56" s="12" t="s">
        <v>1583</v>
      </c>
      <c r="B56" s="14" t="s">
        <v>925</v>
      </c>
      <c r="C56" s="13" t="s">
        <v>563</v>
      </c>
      <c r="D56" s="12" t="s">
        <v>210</v>
      </c>
      <c r="E56" s="12">
        <v>33</v>
      </c>
      <c r="F56" s="16">
        <v>10000</v>
      </c>
      <c r="G56" s="12">
        <v>500</v>
      </c>
      <c r="H56" s="12" t="s">
        <v>210</v>
      </c>
      <c r="I56" s="12">
        <v>50</v>
      </c>
      <c r="J56" s="12" t="s">
        <v>1584</v>
      </c>
    </row>
    <row r="57" spans="1:10" ht="26.4" customHeight="1">
      <c r="A57" s="12" t="s">
        <v>1585</v>
      </c>
      <c r="B57" s="14" t="s">
        <v>960</v>
      </c>
      <c r="C57" s="12" t="s">
        <v>59</v>
      </c>
      <c r="D57" s="12" t="s">
        <v>1586</v>
      </c>
      <c r="E57" s="12">
        <v>20</v>
      </c>
      <c r="F57" s="16">
        <v>8000</v>
      </c>
      <c r="G57" s="12">
        <v>530</v>
      </c>
      <c r="H57" s="16">
        <v>5000</v>
      </c>
      <c r="I57" s="12" t="s">
        <v>210</v>
      </c>
      <c r="J57" s="12" t="s">
        <v>1587</v>
      </c>
    </row>
    <row r="59" spans="1:10" ht="26.4" customHeight="1">
      <c r="A59" s="13" t="s">
        <v>0</v>
      </c>
      <c r="B59" s="13" t="s">
        <v>925</v>
      </c>
      <c r="C59" s="13" t="s">
        <v>1549</v>
      </c>
      <c r="D59" s="13" t="s">
        <v>1453</v>
      </c>
      <c r="E59" s="13" t="s">
        <v>1550</v>
      </c>
      <c r="F59" s="13" t="s">
        <v>919</v>
      </c>
      <c r="G59" s="13" t="s">
        <v>1551</v>
      </c>
      <c r="H59" s="13" t="s">
        <v>921</v>
      </c>
      <c r="I59" s="13" t="s">
        <v>922</v>
      </c>
      <c r="J59" s="13" t="s">
        <v>8</v>
      </c>
    </row>
    <row r="60" spans="1:10" ht="26.4" customHeight="1">
      <c r="A60" s="12" t="s">
        <v>1589</v>
      </c>
      <c r="B60" s="14" t="s">
        <v>960</v>
      </c>
      <c r="C60" s="12" t="s">
        <v>563</v>
      </c>
      <c r="D60" s="12" t="s">
        <v>1590</v>
      </c>
      <c r="E60" s="12">
        <v>37</v>
      </c>
      <c r="F60" s="16">
        <v>7500</v>
      </c>
      <c r="G60" s="12">
        <v>410</v>
      </c>
      <c r="H60" s="16">
        <v>1000</v>
      </c>
      <c r="I60" s="12">
        <v>30</v>
      </c>
      <c r="J60" s="12" t="s">
        <v>1591</v>
      </c>
    </row>
    <row r="61" spans="1:10" ht="26.4" customHeight="1">
      <c r="A61" s="12" t="s">
        <v>1592</v>
      </c>
      <c r="B61" s="14" t="s">
        <v>960</v>
      </c>
      <c r="C61" s="12" t="s">
        <v>59</v>
      </c>
      <c r="D61" s="12" t="s">
        <v>64</v>
      </c>
      <c r="E61" s="12">
        <v>28</v>
      </c>
      <c r="F61" s="16">
        <v>5000</v>
      </c>
      <c r="G61" s="12">
        <v>250</v>
      </c>
      <c r="H61" s="16">
        <v>8000</v>
      </c>
      <c r="I61" s="12" t="s">
        <v>210</v>
      </c>
      <c r="J61" s="12"/>
    </row>
    <row r="62" spans="1:10" ht="26.4" customHeight="1">
      <c r="A62" s="12" t="s">
        <v>1593</v>
      </c>
      <c r="B62" s="14" t="s">
        <v>960</v>
      </c>
      <c r="C62" s="12" t="s">
        <v>59</v>
      </c>
      <c r="D62" s="12" t="s">
        <v>1594</v>
      </c>
      <c r="E62" s="12">
        <v>34</v>
      </c>
      <c r="F62" s="16">
        <v>4000</v>
      </c>
      <c r="G62" s="12">
        <v>250</v>
      </c>
      <c r="H62" s="16">
        <v>5000</v>
      </c>
      <c r="I62" s="12" t="s">
        <v>210</v>
      </c>
      <c r="J62" s="12"/>
    </row>
    <row r="63" spans="1:10" ht="26.4" customHeight="1">
      <c r="A63" s="12" t="s">
        <v>1595</v>
      </c>
      <c r="B63" s="14" t="s">
        <v>960</v>
      </c>
      <c r="C63" s="12" t="s">
        <v>59</v>
      </c>
      <c r="D63" s="12" t="s">
        <v>1596</v>
      </c>
      <c r="E63" s="12">
        <v>38</v>
      </c>
      <c r="F63" s="16">
        <v>5000</v>
      </c>
      <c r="G63" s="12">
        <v>350</v>
      </c>
      <c r="H63" s="16">
        <v>10000</v>
      </c>
      <c r="I63" s="12" t="s">
        <v>210</v>
      </c>
      <c r="J63" s="12"/>
    </row>
    <row r="64" spans="1:10" ht="26.4" customHeight="1">
      <c r="A64" s="12" t="s">
        <v>1597</v>
      </c>
      <c r="B64" s="14" t="s">
        <v>960</v>
      </c>
      <c r="C64" s="12" t="s">
        <v>59</v>
      </c>
      <c r="D64" s="12" t="s">
        <v>1598</v>
      </c>
      <c r="E64" s="12">
        <v>41</v>
      </c>
      <c r="F64" s="16">
        <v>5000</v>
      </c>
      <c r="G64" s="12">
        <v>330</v>
      </c>
      <c r="H64" s="16">
        <v>15000</v>
      </c>
      <c r="I64" s="12" t="s">
        <v>210</v>
      </c>
      <c r="J64" s="12"/>
    </row>
    <row r="65" spans="1:10" ht="26.4" customHeight="1">
      <c r="A65" s="12" t="s">
        <v>1599</v>
      </c>
      <c r="B65" s="14" t="s">
        <v>925</v>
      </c>
      <c r="C65" s="12" t="s">
        <v>59</v>
      </c>
      <c r="D65" s="12" t="s">
        <v>1600</v>
      </c>
      <c r="E65" s="12">
        <v>58</v>
      </c>
      <c r="F65" s="16">
        <v>10000</v>
      </c>
      <c r="G65" s="12">
        <v>500</v>
      </c>
      <c r="H65" s="16">
        <v>8800</v>
      </c>
      <c r="I65" s="12" t="s">
        <v>210</v>
      </c>
      <c r="J65" s="12"/>
    </row>
    <row r="66" spans="1:10" ht="26.4" customHeight="1">
      <c r="A66" s="12" t="s">
        <v>1601</v>
      </c>
      <c r="B66" s="14" t="s">
        <v>925</v>
      </c>
      <c r="C66" s="12" t="s">
        <v>59</v>
      </c>
      <c r="D66" s="12" t="s">
        <v>1602</v>
      </c>
      <c r="E66" s="12">
        <v>24</v>
      </c>
      <c r="F66" s="16">
        <v>7000</v>
      </c>
      <c r="G66" s="12">
        <v>390</v>
      </c>
      <c r="H66" s="16">
        <v>12000</v>
      </c>
      <c r="I66" s="12" t="s">
        <v>210</v>
      </c>
      <c r="J66" s="12"/>
    </row>
    <row r="67" spans="1:10" ht="26.4" customHeight="1">
      <c r="A67" s="12" t="s">
        <v>1603</v>
      </c>
      <c r="B67" s="14" t="s">
        <v>925</v>
      </c>
      <c r="C67" s="12" t="s">
        <v>59</v>
      </c>
      <c r="D67" s="12" t="s">
        <v>1604</v>
      </c>
      <c r="E67" s="12">
        <v>28</v>
      </c>
      <c r="F67" s="16">
        <v>5000</v>
      </c>
      <c r="G67" s="12">
        <v>320</v>
      </c>
      <c r="H67" s="16">
        <v>10000</v>
      </c>
      <c r="I67" s="12" t="s">
        <v>210</v>
      </c>
      <c r="J67" s="12"/>
    </row>
    <row r="68" spans="1:10" ht="26.4" customHeight="1">
      <c r="A68" s="12" t="s">
        <v>1605</v>
      </c>
      <c r="B68" s="14" t="s">
        <v>960</v>
      </c>
      <c r="C68" s="12" t="s">
        <v>59</v>
      </c>
      <c r="D68" s="12" t="s">
        <v>1606</v>
      </c>
      <c r="E68" s="12">
        <v>20</v>
      </c>
      <c r="F68" s="16">
        <v>2000</v>
      </c>
      <c r="G68" s="12">
        <v>220</v>
      </c>
      <c r="H68" s="16">
        <v>10000</v>
      </c>
      <c r="I68" s="12" t="s">
        <v>210</v>
      </c>
      <c r="J68" s="12"/>
    </row>
    <row r="69" spans="1:10" ht="26.4" customHeight="1">
      <c r="A69" s="12" t="s">
        <v>1607</v>
      </c>
      <c r="B69" s="14" t="s">
        <v>925</v>
      </c>
      <c r="C69" s="12" t="s">
        <v>563</v>
      </c>
      <c r="D69" s="12" t="s">
        <v>210</v>
      </c>
      <c r="E69" s="12">
        <v>20</v>
      </c>
      <c r="F69" s="16">
        <v>11000</v>
      </c>
      <c r="G69" s="12">
        <v>900</v>
      </c>
      <c r="H69" s="12" t="s">
        <v>210</v>
      </c>
      <c r="I69" s="12" t="s">
        <v>210</v>
      </c>
      <c r="J69" s="12" t="s">
        <v>1608</v>
      </c>
    </row>
    <row r="70" spans="1:10" ht="26.4" customHeight="1">
      <c r="A70" s="12" t="s">
        <v>1609</v>
      </c>
      <c r="B70" s="14" t="s">
        <v>960</v>
      </c>
      <c r="C70" s="12" t="s">
        <v>1640</v>
      </c>
      <c r="D70" s="12" t="s">
        <v>210</v>
      </c>
      <c r="E70" s="12">
        <v>40</v>
      </c>
      <c r="F70" s="16">
        <v>15000</v>
      </c>
      <c r="G70" s="12">
        <v>800</v>
      </c>
      <c r="H70" s="12" t="s">
        <v>210</v>
      </c>
      <c r="I70" s="12" t="s">
        <v>210</v>
      </c>
      <c r="J70" s="12" t="s">
        <v>1610</v>
      </c>
    </row>
    <row r="71" spans="1:10" ht="26.4" customHeight="1">
      <c r="A71" s="12" t="s">
        <v>1611</v>
      </c>
      <c r="B71" s="14" t="s">
        <v>925</v>
      </c>
      <c r="C71" s="12" t="s">
        <v>563</v>
      </c>
      <c r="D71" s="12" t="s">
        <v>210</v>
      </c>
      <c r="E71" s="12" t="s">
        <v>1612</v>
      </c>
      <c r="F71" s="16">
        <v>15000</v>
      </c>
      <c r="G71" s="12">
        <v>800</v>
      </c>
      <c r="H71" s="12" t="s">
        <v>210</v>
      </c>
      <c r="I71" s="12" t="s">
        <v>210</v>
      </c>
      <c r="J71" s="12" t="s">
        <v>1613</v>
      </c>
    </row>
    <row r="72" spans="1:10" ht="26.4" customHeight="1">
      <c r="A72" s="12" t="s">
        <v>1614</v>
      </c>
      <c r="B72" s="14" t="s">
        <v>960</v>
      </c>
      <c r="C72" s="12" t="s">
        <v>563</v>
      </c>
      <c r="D72" s="12" t="s">
        <v>210</v>
      </c>
      <c r="E72" s="12">
        <v>26</v>
      </c>
      <c r="F72" s="16">
        <v>10000</v>
      </c>
      <c r="G72" s="12">
        <v>650</v>
      </c>
      <c r="H72" s="12" t="s">
        <v>210</v>
      </c>
      <c r="I72" s="12">
        <v>60</v>
      </c>
      <c r="J72" s="12"/>
    </row>
    <row r="73" spans="1:10" ht="26.4" customHeight="1">
      <c r="A73" s="12" t="s">
        <v>1615</v>
      </c>
      <c r="B73" s="14" t="s">
        <v>960</v>
      </c>
      <c r="C73" s="12" t="s">
        <v>563</v>
      </c>
      <c r="D73" s="12" t="s">
        <v>210</v>
      </c>
      <c r="E73" s="12">
        <v>7</v>
      </c>
      <c r="F73" s="16">
        <v>10000</v>
      </c>
      <c r="G73" s="12">
        <v>500</v>
      </c>
      <c r="H73" s="12" t="s">
        <v>210</v>
      </c>
      <c r="I73" s="12" t="s">
        <v>210</v>
      </c>
      <c r="J73" s="12" t="s">
        <v>1616</v>
      </c>
    </row>
    <row r="74" spans="1:10" ht="26.4" customHeight="1">
      <c r="A74" s="12" t="s">
        <v>1617</v>
      </c>
      <c r="B74" s="14" t="s">
        <v>960</v>
      </c>
      <c r="C74" s="12" t="s">
        <v>59</v>
      </c>
      <c r="D74" s="12" t="s">
        <v>1618</v>
      </c>
      <c r="E74" s="12" t="s">
        <v>1619</v>
      </c>
      <c r="F74" s="16">
        <v>12000</v>
      </c>
      <c r="G74" s="12">
        <v>920</v>
      </c>
      <c r="H74" s="16">
        <v>24000</v>
      </c>
      <c r="I74" s="12">
        <v>80</v>
      </c>
      <c r="J74" s="12" t="s">
        <v>1620</v>
      </c>
    </row>
    <row r="75" spans="1:10" ht="26.4" customHeight="1">
      <c r="A75" s="12" t="s">
        <v>1621</v>
      </c>
      <c r="B75" s="14" t="s">
        <v>960</v>
      </c>
      <c r="C75" s="12" t="s">
        <v>59</v>
      </c>
      <c r="D75" s="12" t="s">
        <v>1622</v>
      </c>
      <c r="E75" s="12">
        <v>44</v>
      </c>
      <c r="F75" s="16">
        <v>8000</v>
      </c>
      <c r="G75" s="12">
        <v>340</v>
      </c>
      <c r="H75" s="16">
        <v>10000</v>
      </c>
      <c r="I75" s="12" t="s">
        <v>210</v>
      </c>
      <c r="J75" s="12" t="s">
        <v>1623</v>
      </c>
    </row>
    <row r="76" spans="1:10" ht="26.4" customHeight="1">
      <c r="A76" s="12" t="s">
        <v>1624</v>
      </c>
      <c r="B76" s="14" t="s">
        <v>960</v>
      </c>
      <c r="C76" s="12" t="s">
        <v>59</v>
      </c>
      <c r="D76" s="12" t="s">
        <v>1625</v>
      </c>
      <c r="E76" s="12">
        <v>40</v>
      </c>
      <c r="F76" s="16">
        <v>5000</v>
      </c>
      <c r="G76" s="12">
        <v>300</v>
      </c>
      <c r="H76" s="16">
        <v>5000</v>
      </c>
      <c r="I76" s="12">
        <v>10</v>
      </c>
      <c r="J76" s="12"/>
    </row>
    <row r="77" spans="1:10" ht="26.4" customHeight="1">
      <c r="A77" s="12" t="s">
        <v>1626</v>
      </c>
      <c r="B77" s="14" t="s">
        <v>960</v>
      </c>
      <c r="C77" s="12" t="s">
        <v>59</v>
      </c>
      <c r="D77" s="12" t="s">
        <v>1627</v>
      </c>
      <c r="E77" s="12" t="s">
        <v>1612</v>
      </c>
      <c r="F77" s="16">
        <v>10000</v>
      </c>
      <c r="G77" s="12">
        <v>700</v>
      </c>
      <c r="H77" s="16">
        <v>1500</v>
      </c>
      <c r="I77" s="12">
        <v>100</v>
      </c>
      <c r="J77" s="12" t="s">
        <v>1628</v>
      </c>
    </row>
    <row r="78" spans="1:10" ht="26.4" customHeight="1">
      <c r="A78" s="12" t="s">
        <v>1629</v>
      </c>
      <c r="B78" s="14" t="s">
        <v>925</v>
      </c>
      <c r="C78" s="12" t="s">
        <v>59</v>
      </c>
      <c r="D78" s="12" t="s">
        <v>1630</v>
      </c>
      <c r="E78" s="12" t="s">
        <v>1631</v>
      </c>
      <c r="F78" s="16">
        <v>4000</v>
      </c>
      <c r="G78" s="12">
        <v>396</v>
      </c>
      <c r="H78" s="12" t="s">
        <v>210</v>
      </c>
      <c r="I78" s="12" t="s">
        <v>210</v>
      </c>
      <c r="J78" s="12" t="s">
        <v>1632</v>
      </c>
    </row>
    <row r="79" spans="1:10" ht="26.4" customHeight="1">
      <c r="A79" s="12" t="s">
        <v>1633</v>
      </c>
      <c r="B79" s="14" t="s">
        <v>960</v>
      </c>
      <c r="C79" s="12" t="s">
        <v>563</v>
      </c>
      <c r="D79" s="12" t="s">
        <v>210</v>
      </c>
      <c r="E79" s="12">
        <v>20</v>
      </c>
      <c r="F79" s="16">
        <v>5000</v>
      </c>
      <c r="G79" s="12">
        <v>300</v>
      </c>
      <c r="H79" s="12" t="s">
        <v>210</v>
      </c>
      <c r="I79" s="12">
        <v>25</v>
      </c>
      <c r="J79" s="12" t="s">
        <v>1634</v>
      </c>
    </row>
    <row r="80" spans="1:10" ht="26.4" customHeight="1">
      <c r="A80" s="12" t="s">
        <v>1635</v>
      </c>
      <c r="B80" s="14" t="s">
        <v>925</v>
      </c>
      <c r="C80" s="12" t="s">
        <v>563</v>
      </c>
      <c r="D80" s="12" t="s">
        <v>210</v>
      </c>
      <c r="E80" s="12">
        <v>15</v>
      </c>
      <c r="F80" s="16">
        <v>5000</v>
      </c>
      <c r="G80" s="12">
        <v>380</v>
      </c>
      <c r="H80" s="12" t="s">
        <v>210</v>
      </c>
      <c r="I80" s="12">
        <v>30</v>
      </c>
      <c r="J80" s="12"/>
    </row>
    <row r="81" spans="1:10" ht="26.4" customHeight="1">
      <c r="A81" s="12" t="s">
        <v>1636</v>
      </c>
      <c r="B81" s="14" t="s">
        <v>960</v>
      </c>
      <c r="C81" s="12" t="s">
        <v>110</v>
      </c>
      <c r="D81" s="12" t="s">
        <v>1637</v>
      </c>
      <c r="E81" s="12" t="s">
        <v>1638</v>
      </c>
      <c r="F81" s="16">
        <v>6000</v>
      </c>
      <c r="G81" s="12">
        <v>450</v>
      </c>
      <c r="H81" s="16">
        <v>4000</v>
      </c>
      <c r="I81" s="12" t="s">
        <v>210</v>
      </c>
      <c r="J81" s="12" t="s">
        <v>1639</v>
      </c>
    </row>
    <row r="83" spans="1:10" ht="26.4" customHeight="1">
      <c r="A83" s="34" t="s">
        <v>0</v>
      </c>
      <c r="B83" s="34" t="s">
        <v>925</v>
      </c>
      <c r="C83" s="34" t="s">
        <v>1549</v>
      </c>
      <c r="D83" s="34" t="s">
        <v>1453</v>
      </c>
      <c r="E83" s="34" t="s">
        <v>1550</v>
      </c>
      <c r="F83" s="34" t="s">
        <v>919</v>
      </c>
      <c r="G83" s="34" t="s">
        <v>1551</v>
      </c>
      <c r="H83" s="34" t="s">
        <v>921</v>
      </c>
      <c r="I83" s="34" t="s">
        <v>922</v>
      </c>
      <c r="J83" s="34" t="s">
        <v>8</v>
      </c>
    </row>
    <row r="84" spans="1:10" ht="26.4" customHeight="1">
      <c r="A84" s="34" t="s">
        <v>1641</v>
      </c>
      <c r="B84" s="35" t="str">
        <f>HYPERLINK("https://map.naver.com/v5/search/수원시 팔달구 매산로1가 11-14","지도")</f>
        <v>지도</v>
      </c>
      <c r="C84" s="34" t="s">
        <v>563</v>
      </c>
      <c r="D84" s="34" t="s">
        <v>210</v>
      </c>
      <c r="E84" s="34">
        <v>7.86</v>
      </c>
      <c r="F84" s="36">
        <v>10000</v>
      </c>
      <c r="G84" s="34">
        <v>600</v>
      </c>
      <c r="H84" s="34">
        <v>0</v>
      </c>
      <c r="I84" s="34" t="s">
        <v>210</v>
      </c>
      <c r="J84" s="34" t="s">
        <v>1642</v>
      </c>
    </row>
    <row r="85" spans="1:10" ht="26.4" customHeight="1">
      <c r="A85" s="34" t="s">
        <v>1643</v>
      </c>
      <c r="B85" s="34" t="str">
        <f>HYPERLINK("https://map.naver.com/v5/search/수원시 팔달구 매산로1가 57-99","지도")</f>
        <v>지도</v>
      </c>
      <c r="C85" s="34" t="s">
        <v>1684</v>
      </c>
      <c r="D85" s="34" t="s">
        <v>210</v>
      </c>
      <c r="E85" s="34">
        <v>41</v>
      </c>
      <c r="F85" s="36">
        <v>10000</v>
      </c>
      <c r="G85" s="34">
        <v>800</v>
      </c>
      <c r="H85" s="34">
        <v>0</v>
      </c>
      <c r="I85" s="34" t="s">
        <v>210</v>
      </c>
      <c r="J85" s="34" t="s">
        <v>1644</v>
      </c>
    </row>
    <row r="86" spans="1:10" ht="26.4" customHeight="1">
      <c r="A86" s="34" t="s">
        <v>1645</v>
      </c>
      <c r="B86" s="34" t="str">
        <f>HYPERLINK("https://map.naver.com/v5/search/수원시 장안구 영화동 282-11","지도")</f>
        <v>지도</v>
      </c>
      <c r="C86" s="34" t="s">
        <v>563</v>
      </c>
      <c r="D86" s="34" t="s">
        <v>210</v>
      </c>
      <c r="E86" s="34">
        <v>25</v>
      </c>
      <c r="F86" s="36">
        <v>3000</v>
      </c>
      <c r="G86" s="34">
        <v>210</v>
      </c>
      <c r="H86" s="34">
        <v>0</v>
      </c>
      <c r="I86" s="34" t="s">
        <v>210</v>
      </c>
    </row>
    <row r="87" spans="1:10" ht="26.4" customHeight="1">
      <c r="A87" s="34" t="s">
        <v>1646</v>
      </c>
      <c r="B87" s="34" t="str">
        <f>HYPERLINK("https://map.naver.com/v5/search/수원시 장안구 영화동 327-3","지도")</f>
        <v>지도</v>
      </c>
      <c r="C87" s="34" t="s">
        <v>563</v>
      </c>
      <c r="D87" s="34" t="s">
        <v>210</v>
      </c>
      <c r="E87" s="34">
        <v>19</v>
      </c>
      <c r="F87" s="36">
        <v>5000</v>
      </c>
      <c r="G87" s="34">
        <v>250</v>
      </c>
      <c r="H87" s="34">
        <v>0</v>
      </c>
      <c r="I87" s="34" t="s">
        <v>210</v>
      </c>
    </row>
    <row r="88" spans="1:10" ht="26.4" customHeight="1">
      <c r="A88" s="34" t="s">
        <v>1647</v>
      </c>
      <c r="B88" s="34" t="str">
        <f>HYPERLINK("https://map.naver.com/v5/search/수원시 장안구 율전동 290-43","지도")</f>
        <v>지도</v>
      </c>
      <c r="C88" s="34" t="s">
        <v>563</v>
      </c>
      <c r="D88" s="34" t="s">
        <v>210</v>
      </c>
      <c r="E88" s="34">
        <v>20</v>
      </c>
      <c r="F88" s="36">
        <v>4000</v>
      </c>
      <c r="G88" s="34">
        <v>220</v>
      </c>
      <c r="H88" s="34">
        <v>0</v>
      </c>
      <c r="I88" s="34" t="s">
        <v>210</v>
      </c>
    </row>
    <row r="89" spans="1:10" ht="26.4" customHeight="1">
      <c r="A89" s="34" t="s">
        <v>1647</v>
      </c>
      <c r="B89" s="34" t="str">
        <f>HYPERLINK("https://map.naver.com/v5/search/수원시 장안구 율전동 290-43","지도")</f>
        <v>지도</v>
      </c>
      <c r="C89" s="34" t="s">
        <v>59</v>
      </c>
      <c r="D89" s="34" t="s">
        <v>1648</v>
      </c>
      <c r="E89" s="34">
        <v>45</v>
      </c>
      <c r="F89" s="36">
        <v>10000</v>
      </c>
      <c r="G89" s="34">
        <v>550</v>
      </c>
      <c r="H89" s="34">
        <v>0</v>
      </c>
      <c r="I89" s="34" t="s">
        <v>210</v>
      </c>
    </row>
    <row r="90" spans="1:10" ht="26.4" customHeight="1">
      <c r="A90" s="34" t="s">
        <v>1649</v>
      </c>
      <c r="B90" s="34" t="str">
        <f>HYPERLINK("https://map.naver.com/v5/search/경기도 수원시 팔달구 신풍동 198-4","지도")</f>
        <v>지도</v>
      </c>
      <c r="C90" s="34" t="s">
        <v>563</v>
      </c>
      <c r="D90" s="34" t="s">
        <v>210</v>
      </c>
      <c r="E90" s="34">
        <v>20</v>
      </c>
      <c r="F90" s="36">
        <v>3000</v>
      </c>
      <c r="G90" s="34">
        <v>300</v>
      </c>
      <c r="H90" s="34" t="s">
        <v>210</v>
      </c>
      <c r="I90" s="34" t="s">
        <v>210</v>
      </c>
      <c r="J90" s="34" t="s">
        <v>1678</v>
      </c>
    </row>
    <row r="91" spans="1:10" ht="26.4" customHeight="1">
      <c r="A91" s="34" t="s">
        <v>1650</v>
      </c>
      <c r="B91" s="34" t="str">
        <f>HYPERLINK("https://map.naver.com/v5/search/수원시 장안구 율전동 296-37","지도")</f>
        <v>지도</v>
      </c>
      <c r="C91" s="34" t="s">
        <v>59</v>
      </c>
      <c r="D91" s="34" t="s">
        <v>1651</v>
      </c>
      <c r="E91" s="34">
        <v>31.99</v>
      </c>
      <c r="F91" s="36">
        <v>3000</v>
      </c>
      <c r="G91" s="34">
        <v>260</v>
      </c>
      <c r="H91" s="36">
        <v>5000</v>
      </c>
      <c r="I91" s="34" t="s">
        <v>210</v>
      </c>
    </row>
    <row r="92" spans="1:10" ht="26.4" customHeight="1">
      <c r="A92" s="34" t="s">
        <v>1652</v>
      </c>
      <c r="B92" s="34" t="str">
        <f>HYPERLINK("https://map.naver.com/v5/search/수원시 팔달구 매산로1가 16-3","지도")</f>
        <v>지도</v>
      </c>
      <c r="C92" s="34" t="s">
        <v>563</v>
      </c>
      <c r="D92" s="34" t="s">
        <v>210</v>
      </c>
      <c r="E92" s="34">
        <v>60</v>
      </c>
      <c r="F92" s="36">
        <v>20000</v>
      </c>
      <c r="G92" s="36">
        <v>1300</v>
      </c>
      <c r="H92" s="34">
        <v>0</v>
      </c>
      <c r="I92" s="34" t="s">
        <v>210</v>
      </c>
      <c r="J92" s="34" t="s">
        <v>1685</v>
      </c>
    </row>
    <row r="93" spans="1:10" ht="26.4" customHeight="1">
      <c r="A93" s="34" t="s">
        <v>1653</v>
      </c>
      <c r="B93" s="34" t="str">
        <f>HYPERLINK("https://map.naver.com/v5/search/수원시 장안구 율전동 290-6","지도")</f>
        <v>지도</v>
      </c>
      <c r="C93" s="34" t="s">
        <v>59</v>
      </c>
      <c r="D93" s="34" t="s">
        <v>1654</v>
      </c>
      <c r="E93" s="34">
        <v>30</v>
      </c>
      <c r="F93" s="36">
        <v>2000</v>
      </c>
      <c r="G93" s="34">
        <v>180</v>
      </c>
      <c r="H93" s="36">
        <v>10000</v>
      </c>
      <c r="I93" s="34" t="s">
        <v>210</v>
      </c>
      <c r="J93" s="34" t="s">
        <v>1655</v>
      </c>
    </row>
    <row r="94" spans="1:10" ht="26.4" customHeight="1">
      <c r="A94" s="34" t="s">
        <v>1656</v>
      </c>
      <c r="B94" s="34" t="str">
        <f>HYPERLINK("https://map.naver.com/v5/search/수원시 장안구 율전동 292-8","지도")</f>
        <v>지도</v>
      </c>
      <c r="C94" s="34" t="s">
        <v>59</v>
      </c>
      <c r="D94" s="34" t="s">
        <v>1657</v>
      </c>
      <c r="E94" s="34">
        <v>22</v>
      </c>
      <c r="F94" s="36">
        <v>5000</v>
      </c>
      <c r="G94" s="34">
        <v>200</v>
      </c>
      <c r="H94" s="36">
        <v>12000</v>
      </c>
      <c r="I94" s="34" t="s">
        <v>210</v>
      </c>
    </row>
    <row r="95" spans="1:10" ht="26.4" customHeight="1">
      <c r="A95" s="34" t="s">
        <v>1658</v>
      </c>
      <c r="B95" s="34" t="str">
        <f>HYPERLINK("https://map.naver.com/v5/search/수원시 장안구 율전동 290-3","지도")</f>
        <v>지도</v>
      </c>
      <c r="C95" s="34" t="s">
        <v>1681</v>
      </c>
      <c r="D95" s="34" t="s">
        <v>1659</v>
      </c>
      <c r="E95" s="34">
        <v>41</v>
      </c>
      <c r="F95" s="36">
        <v>8000</v>
      </c>
      <c r="G95" s="34">
        <v>500</v>
      </c>
      <c r="H95" s="34">
        <v>0</v>
      </c>
      <c r="I95" s="34" t="s">
        <v>210</v>
      </c>
      <c r="J95" s="34" t="s">
        <v>1660</v>
      </c>
    </row>
    <row r="96" spans="1:10" ht="26.4" customHeight="1">
      <c r="A96" s="34" t="s">
        <v>1661</v>
      </c>
      <c r="B96" s="34" t="str">
        <f>HYPERLINK("https://map.naver.com/v5/search/수원시 장안구 율전동 433-94","지도")</f>
        <v>지도</v>
      </c>
      <c r="C96" s="34" t="s">
        <v>59</v>
      </c>
      <c r="D96" s="34" t="s">
        <v>1662</v>
      </c>
      <c r="E96" s="34">
        <v>20</v>
      </c>
      <c r="F96" s="36">
        <v>1000</v>
      </c>
      <c r="G96" s="34">
        <v>180</v>
      </c>
      <c r="H96" s="36">
        <v>10000</v>
      </c>
      <c r="I96" s="34" t="s">
        <v>210</v>
      </c>
      <c r="J96" s="34" t="s">
        <v>1663</v>
      </c>
    </row>
    <row r="97" spans="1:10" ht="26.4" customHeight="1">
      <c r="A97" s="34" t="s">
        <v>1664</v>
      </c>
      <c r="B97" s="34" t="str">
        <f>HYPERLINK("https://map.naver.com/v5/search/경기도 하남시 풍산동 490","지도")</f>
        <v>지도</v>
      </c>
      <c r="C97" s="34" t="s">
        <v>59</v>
      </c>
      <c r="D97" s="34" t="s">
        <v>1665</v>
      </c>
      <c r="E97" s="34">
        <v>28</v>
      </c>
      <c r="F97" s="36">
        <v>4000</v>
      </c>
      <c r="G97" s="34">
        <v>350</v>
      </c>
      <c r="H97" s="36">
        <v>3500</v>
      </c>
      <c r="I97" s="34" t="s">
        <v>210</v>
      </c>
      <c r="J97" s="34" t="s">
        <v>1666</v>
      </c>
    </row>
    <row r="98" spans="1:10" ht="26.4" customHeight="1">
      <c r="A98" s="34" t="s">
        <v>1667</v>
      </c>
      <c r="B98" s="34" t="str">
        <f>HYPERLINK("https://map.naver.com/v5/search/수원시 장안구 율전동 294-4","지도")</f>
        <v>지도</v>
      </c>
      <c r="C98" s="34" t="s">
        <v>59</v>
      </c>
      <c r="D98" s="34" t="s">
        <v>1668</v>
      </c>
      <c r="E98" s="34">
        <v>30</v>
      </c>
      <c r="F98" s="36">
        <v>4000</v>
      </c>
      <c r="G98" s="34">
        <v>300</v>
      </c>
      <c r="H98" s="36">
        <v>13000</v>
      </c>
      <c r="I98" s="34" t="s">
        <v>210</v>
      </c>
    </row>
    <row r="99" spans="1:10" ht="26.4" customHeight="1">
      <c r="A99" s="34" t="s">
        <v>1669</v>
      </c>
      <c r="B99" s="34" t="str">
        <f>HYPERLINK("https://map.naver.com/v5/search/수원시 장안구 율전동 300","지도")</f>
        <v>지도</v>
      </c>
      <c r="C99" s="34" t="s">
        <v>59</v>
      </c>
      <c r="D99" s="34" t="s">
        <v>1670</v>
      </c>
      <c r="E99" s="34">
        <v>52</v>
      </c>
      <c r="F99" s="36">
        <v>9000</v>
      </c>
      <c r="G99" s="34">
        <v>270</v>
      </c>
      <c r="H99" s="36">
        <v>5000</v>
      </c>
      <c r="I99" s="34" t="s">
        <v>210</v>
      </c>
      <c r="J99" s="34" t="s">
        <v>1682</v>
      </c>
    </row>
    <row r="100" spans="1:10" ht="26.4" customHeight="1">
      <c r="A100" s="34" t="s">
        <v>1671</v>
      </c>
      <c r="B100" s="35" t="str">
        <f>HYPERLINK("https://map.naver.com/v5/search/수원시 장안구 율전동 297-3","지도")</f>
        <v>지도</v>
      </c>
      <c r="C100" s="34" t="s">
        <v>59</v>
      </c>
      <c r="D100" s="34" t="s">
        <v>1672</v>
      </c>
      <c r="E100" s="34">
        <v>35</v>
      </c>
      <c r="F100" s="36">
        <v>6000</v>
      </c>
      <c r="G100" s="34">
        <v>370</v>
      </c>
      <c r="H100" s="36">
        <v>7000</v>
      </c>
      <c r="I100" s="34" t="s">
        <v>210</v>
      </c>
      <c r="J100" s="34" t="s">
        <v>1683</v>
      </c>
    </row>
    <row r="101" spans="1:10" ht="26.4" customHeight="1">
      <c r="A101" s="34" t="s">
        <v>1673</v>
      </c>
      <c r="B101" s="35" t="str">
        <f>HYPERLINK("https://map.naver.com/v5/search/수원시 장안구 천천동 527-9","지도")</f>
        <v>지도</v>
      </c>
      <c r="C101" s="34" t="s">
        <v>563</v>
      </c>
      <c r="D101" s="34" t="s">
        <v>210</v>
      </c>
      <c r="E101" s="34">
        <v>18</v>
      </c>
      <c r="F101" s="36">
        <v>10000</v>
      </c>
      <c r="G101" s="34">
        <v>650</v>
      </c>
      <c r="H101" s="34">
        <v>0</v>
      </c>
      <c r="I101" s="34" t="s">
        <v>210</v>
      </c>
      <c r="J101" s="34" t="s">
        <v>1679</v>
      </c>
    </row>
    <row r="102" spans="1:10" ht="26.4" customHeight="1">
      <c r="A102" s="34" t="s">
        <v>1674</v>
      </c>
      <c r="B102" s="34" t="str">
        <f>HYPERLINK("https://map.naver.com/v5/search/수원시 장안구 천천동 527-7","지도")</f>
        <v>지도</v>
      </c>
      <c r="C102" s="34" t="s">
        <v>59</v>
      </c>
      <c r="D102" s="34" t="s">
        <v>1675</v>
      </c>
      <c r="E102" s="34">
        <v>12</v>
      </c>
      <c r="F102" s="36">
        <v>5000</v>
      </c>
      <c r="G102" s="34">
        <v>270</v>
      </c>
      <c r="H102" s="36">
        <v>3000</v>
      </c>
      <c r="I102" s="34" t="s">
        <v>210</v>
      </c>
      <c r="J102" s="34" t="s">
        <v>1680</v>
      </c>
    </row>
    <row r="103" spans="1:10" ht="26.4" customHeight="1">
      <c r="A103" s="34" t="s">
        <v>1676</v>
      </c>
      <c r="B103" s="35" t="str">
        <f>HYPERLINK("https://map.naver.com/v5/search/수원시 장안구 율전동 433-82","지도")</f>
        <v>지도</v>
      </c>
      <c r="C103" s="34" t="s">
        <v>59</v>
      </c>
      <c r="D103" s="34" t="s">
        <v>1677</v>
      </c>
      <c r="E103" s="34">
        <v>35</v>
      </c>
      <c r="F103" s="36">
        <v>5000</v>
      </c>
      <c r="G103" s="34">
        <v>500</v>
      </c>
      <c r="H103" s="36">
        <v>10000</v>
      </c>
      <c r="I103" s="34" t="s">
        <v>210</v>
      </c>
    </row>
    <row r="105" spans="1:10" ht="26.4" customHeight="1">
      <c r="A105" s="13" t="s">
        <v>0</v>
      </c>
      <c r="B105" s="13" t="s">
        <v>1452</v>
      </c>
      <c r="C105" s="13" t="s">
        <v>2</v>
      </c>
      <c r="D105" s="13" t="s">
        <v>1453</v>
      </c>
      <c r="E105" s="13" t="s">
        <v>918</v>
      </c>
      <c r="F105" s="13" t="s">
        <v>919</v>
      </c>
      <c r="G105" s="13" t="s">
        <v>920</v>
      </c>
      <c r="H105" s="13" t="s">
        <v>921</v>
      </c>
      <c r="I105" s="13" t="s">
        <v>922</v>
      </c>
      <c r="J105" s="13" t="s">
        <v>8</v>
      </c>
    </row>
    <row r="106" spans="1:10" ht="26.4" customHeight="1">
      <c r="A106" s="12" t="s">
        <v>1687</v>
      </c>
      <c r="B106" s="14" t="str">
        <f>HYPERLINK("https://map.naver.com/v5/search/서초구 양재동 8-59","지도")</f>
        <v>지도</v>
      </c>
      <c r="C106" s="12" t="s">
        <v>59</v>
      </c>
      <c r="D106" s="12" t="s">
        <v>1688</v>
      </c>
      <c r="E106" s="12" t="s">
        <v>1689</v>
      </c>
      <c r="F106" s="16">
        <v>9000</v>
      </c>
      <c r="G106" s="12">
        <v>600</v>
      </c>
      <c r="H106" s="16">
        <v>10000</v>
      </c>
      <c r="I106" s="12">
        <v>50</v>
      </c>
      <c r="J106" s="12" t="s">
        <v>1690</v>
      </c>
    </row>
    <row r="107" spans="1:10" ht="26.4" customHeight="1">
      <c r="A107" s="12" t="s">
        <v>1691</v>
      </c>
      <c r="B107" s="12" t="str">
        <f>HYPERLINK("https://map.naver.com/v5/search/서초구 양재동 19-13","지도")</f>
        <v>지도</v>
      </c>
      <c r="C107" s="12" t="s">
        <v>563</v>
      </c>
      <c r="D107" s="12" t="s">
        <v>210</v>
      </c>
      <c r="E107" s="12" t="s">
        <v>1090</v>
      </c>
      <c r="F107" s="16">
        <v>3000</v>
      </c>
      <c r="G107" s="12">
        <v>180</v>
      </c>
      <c r="H107" s="12" t="s">
        <v>210</v>
      </c>
      <c r="I107" s="12">
        <v>15</v>
      </c>
      <c r="J107" s="12" t="s">
        <v>633</v>
      </c>
    </row>
    <row r="108" spans="1:10" ht="26.4" customHeight="1">
      <c r="A108" s="12" t="s">
        <v>1692</v>
      </c>
      <c r="B108" s="12" t="str">
        <f>HYPERLINK("https://map.naver.com/v5/search/서초구 서초동 1364-1","지도")</f>
        <v>지도</v>
      </c>
      <c r="C108" s="12" t="s">
        <v>59</v>
      </c>
      <c r="D108" s="12" t="s">
        <v>1693</v>
      </c>
      <c r="E108" s="12" t="s">
        <v>936</v>
      </c>
      <c r="F108" s="16">
        <v>10000</v>
      </c>
      <c r="G108" s="12">
        <v>600</v>
      </c>
      <c r="H108" s="16">
        <v>6000</v>
      </c>
      <c r="I108" s="12">
        <v>60</v>
      </c>
      <c r="J108" s="12" t="s">
        <v>1694</v>
      </c>
    </row>
    <row r="109" spans="1:10" ht="26.4" customHeight="1">
      <c r="A109" s="12" t="s">
        <v>1695</v>
      </c>
      <c r="B109" s="12" t="str">
        <f>HYPERLINK("https://map.naver.com/v5/search/서초구 서초동 1757-1","지도")</f>
        <v>지도</v>
      </c>
      <c r="C109" s="12" t="s">
        <v>59</v>
      </c>
      <c r="D109" s="12" t="s">
        <v>1696</v>
      </c>
      <c r="E109" s="12" t="s">
        <v>1697</v>
      </c>
      <c r="F109" s="16">
        <v>3000</v>
      </c>
      <c r="G109" s="12">
        <v>200</v>
      </c>
      <c r="H109" s="12" t="s">
        <v>210</v>
      </c>
      <c r="I109" s="12" t="s">
        <v>210</v>
      </c>
      <c r="J109" s="12" t="s">
        <v>1698</v>
      </c>
    </row>
    <row r="110" spans="1:10" ht="26.4" customHeight="1">
      <c r="A110" s="12" t="s">
        <v>1699</v>
      </c>
      <c r="B110" s="12" t="str">
        <f>HYPERLINK("https://map.naver.com/v5/search/강동구 천호동 30-16","지도")</f>
        <v>지도</v>
      </c>
      <c r="C110" s="12" t="s">
        <v>563</v>
      </c>
      <c r="D110" s="12" t="s">
        <v>210</v>
      </c>
      <c r="E110" s="12" t="s">
        <v>1313</v>
      </c>
      <c r="F110" s="16">
        <v>1000</v>
      </c>
      <c r="G110" s="12">
        <v>120</v>
      </c>
      <c r="H110" s="12" t="s">
        <v>210</v>
      </c>
      <c r="I110" s="12" t="s">
        <v>210</v>
      </c>
      <c r="J110" s="12" t="s">
        <v>1700</v>
      </c>
    </row>
    <row r="111" spans="1:10" ht="26.4" customHeight="1">
      <c r="A111" s="12" t="s">
        <v>1583</v>
      </c>
      <c r="B111" s="12" t="str">
        <f>HYPERLINK("https://map.naver.com/v5/search/강동구 길동 320-4","지도")</f>
        <v>지도</v>
      </c>
      <c r="C111" s="12" t="s">
        <v>563</v>
      </c>
      <c r="D111" s="12" t="s">
        <v>210</v>
      </c>
      <c r="E111" s="12" t="s">
        <v>1701</v>
      </c>
      <c r="F111" s="16">
        <v>10000</v>
      </c>
      <c r="G111" s="12">
        <v>500</v>
      </c>
      <c r="H111" s="12" t="s">
        <v>210</v>
      </c>
      <c r="I111" s="12">
        <v>35</v>
      </c>
      <c r="J111" s="12" t="s">
        <v>1702</v>
      </c>
    </row>
    <row r="112" spans="1:10" ht="26.4" customHeight="1">
      <c r="A112" s="12" t="s">
        <v>1703</v>
      </c>
      <c r="B112" s="12" t="str">
        <f>HYPERLINK("https://map.naver.com/v5/search/용인시 수지구 상현동 106-8","지도")</f>
        <v>지도</v>
      </c>
      <c r="C112" s="12" t="s">
        <v>59</v>
      </c>
      <c r="D112" s="12" t="s">
        <v>1704</v>
      </c>
      <c r="E112" s="12" t="s">
        <v>1705</v>
      </c>
      <c r="F112" s="16">
        <v>10000</v>
      </c>
      <c r="G112" s="12">
        <v>390</v>
      </c>
      <c r="H112" s="16">
        <v>8000</v>
      </c>
      <c r="I112" s="12" t="s">
        <v>210</v>
      </c>
      <c r="J112" s="12" t="s">
        <v>1706</v>
      </c>
    </row>
    <row r="113" spans="1:10" ht="26.4" customHeight="1">
      <c r="A113" s="12" t="s">
        <v>1707</v>
      </c>
      <c r="B113" s="12" t="str">
        <f>HYPERLINK("https://map.naver.com/v5/search/강동구 천호동 454-15","지도")</f>
        <v>지도</v>
      </c>
      <c r="C113" s="12" t="s">
        <v>563</v>
      </c>
      <c r="D113" s="12" t="s">
        <v>210</v>
      </c>
      <c r="E113" s="12" t="s">
        <v>933</v>
      </c>
      <c r="F113" s="16">
        <v>8000</v>
      </c>
      <c r="G113" s="12">
        <v>692</v>
      </c>
      <c r="H113" s="12" t="s">
        <v>210</v>
      </c>
      <c r="I113" s="12" t="s">
        <v>210</v>
      </c>
      <c r="J113" s="12" t="s">
        <v>1708</v>
      </c>
    </row>
    <row r="114" spans="1:10" ht="26.4" customHeight="1">
      <c r="A114" s="12" t="s">
        <v>1709</v>
      </c>
      <c r="B114" s="12" t="str">
        <f>HYPERLINK("https://map.naver.com/v5/search/강동구 천호동 31-4","지도")</f>
        <v>지도</v>
      </c>
      <c r="C114" s="12" t="s">
        <v>563</v>
      </c>
      <c r="D114" s="12" t="s">
        <v>210</v>
      </c>
      <c r="E114" s="12" t="s">
        <v>1710</v>
      </c>
      <c r="F114" s="16">
        <v>5000</v>
      </c>
      <c r="G114" s="12">
        <v>150</v>
      </c>
      <c r="H114" s="12" t="s">
        <v>210</v>
      </c>
      <c r="I114" s="12" t="s">
        <v>210</v>
      </c>
      <c r="J114" s="12" t="s">
        <v>1486</v>
      </c>
    </row>
    <row r="115" spans="1:10" ht="26.4" customHeight="1">
      <c r="A115" s="12" t="s">
        <v>1711</v>
      </c>
      <c r="B115" s="14" t="str">
        <f>HYPERLINK("https://map.naver.com/v5/search/강동구 천호동 34-17","지도")</f>
        <v>지도</v>
      </c>
      <c r="C115" s="12" t="s">
        <v>59</v>
      </c>
      <c r="D115" s="12" t="s">
        <v>1712</v>
      </c>
      <c r="E115" s="12" t="s">
        <v>1713</v>
      </c>
      <c r="F115" s="16">
        <v>6000</v>
      </c>
      <c r="G115" s="12">
        <v>420</v>
      </c>
      <c r="H115" s="16">
        <v>10000</v>
      </c>
      <c r="I115" s="12" t="s">
        <v>210</v>
      </c>
      <c r="J115" s="12" t="s">
        <v>1714</v>
      </c>
    </row>
    <row r="117" spans="1:10" ht="26.4" customHeight="1">
      <c r="A117" s="13" t="s">
        <v>0</v>
      </c>
      <c r="B117" s="13" t="s">
        <v>925</v>
      </c>
      <c r="C117" s="13" t="s">
        <v>2</v>
      </c>
      <c r="D117" s="13" t="s">
        <v>1453</v>
      </c>
      <c r="E117" s="13" t="s">
        <v>918</v>
      </c>
      <c r="F117" s="13" t="s">
        <v>919</v>
      </c>
      <c r="G117" s="13" t="s">
        <v>920</v>
      </c>
      <c r="H117" s="13" t="s">
        <v>921</v>
      </c>
      <c r="I117" s="13" t="s">
        <v>922</v>
      </c>
      <c r="J117" s="13" t="s">
        <v>8</v>
      </c>
    </row>
    <row r="118" spans="1:10" ht="26.4" customHeight="1">
      <c r="A118" s="12" t="s">
        <v>1715</v>
      </c>
      <c r="B118" s="14" t="str">
        <f>HYPERLINK("https://map.naver.com/?query=서울%20강동구%20성내동%20435-37","지도")</f>
        <v>지도</v>
      </c>
      <c r="C118" s="12" t="s">
        <v>59</v>
      </c>
      <c r="D118" s="12" t="s">
        <v>1716</v>
      </c>
      <c r="E118" s="12">
        <v>15</v>
      </c>
      <c r="F118" s="16">
        <v>2000</v>
      </c>
      <c r="G118" s="12">
        <v>148</v>
      </c>
      <c r="H118" s="16">
        <v>2000</v>
      </c>
      <c r="I118" s="12">
        <v>3</v>
      </c>
      <c r="J118" s="12" t="s">
        <v>210</v>
      </c>
    </row>
    <row r="119" spans="1:10" ht="26.4" customHeight="1">
      <c r="A119" s="12" t="s">
        <v>1717</v>
      </c>
      <c r="B119" s="14" t="str">
        <f>HYPERLINK("https://map.naver.com/?query=서울%20강동구%20성내동%20464-8","지도")</f>
        <v>지도</v>
      </c>
      <c r="C119" s="12" t="s">
        <v>59</v>
      </c>
      <c r="D119" s="12" t="s">
        <v>1718</v>
      </c>
      <c r="E119" s="12">
        <v>10</v>
      </c>
      <c r="F119" s="16">
        <v>1000</v>
      </c>
      <c r="G119" s="12">
        <v>100</v>
      </c>
      <c r="H119" s="16">
        <v>1500</v>
      </c>
      <c r="I119" s="12">
        <v>5</v>
      </c>
      <c r="J119" s="12" t="s">
        <v>210</v>
      </c>
    </row>
    <row r="120" spans="1:10" ht="26.4" customHeight="1">
      <c r="A120" s="12" t="s">
        <v>1719</v>
      </c>
      <c r="B120" s="14" t="str">
        <f>HYPERLINK("https://map.naver.com/?query=서울%20강동구%20성내동%20434-2","지도")</f>
        <v>지도</v>
      </c>
      <c r="C120" s="12" t="s">
        <v>59</v>
      </c>
      <c r="D120" s="12" t="s">
        <v>1720</v>
      </c>
      <c r="E120" s="12">
        <v>8</v>
      </c>
      <c r="F120" s="16">
        <v>1500</v>
      </c>
      <c r="G120" s="12">
        <v>130</v>
      </c>
      <c r="H120" s="12" t="s">
        <v>210</v>
      </c>
      <c r="I120" s="12">
        <v>5</v>
      </c>
      <c r="J120" s="12" t="s">
        <v>210</v>
      </c>
    </row>
    <row r="121" spans="1:10" ht="26.4" customHeight="1">
      <c r="A121" s="12" t="s">
        <v>1721</v>
      </c>
      <c r="B121" s="14" t="str">
        <f>HYPERLINK("https://map.naver.com/?query=서울%20강동구%20성내동%20469","지도")</f>
        <v>지도</v>
      </c>
      <c r="C121" s="12" t="s">
        <v>59</v>
      </c>
      <c r="D121" s="12" t="s">
        <v>1722</v>
      </c>
      <c r="E121" s="12">
        <v>12</v>
      </c>
      <c r="F121" s="16">
        <v>3000</v>
      </c>
      <c r="G121" s="12">
        <v>145</v>
      </c>
      <c r="H121" s="16">
        <v>3500</v>
      </c>
      <c r="I121" s="12">
        <v>5</v>
      </c>
      <c r="J121" s="12" t="s">
        <v>210</v>
      </c>
    </row>
    <row r="122" spans="1:10" ht="26.4" customHeight="1">
      <c r="A122" s="12" t="s">
        <v>1723</v>
      </c>
      <c r="B122" s="14" t="str">
        <f>HYPERLINK("https://map.naver.com/?query=서울%20강동구%20성내동%20558-4","지도")</f>
        <v>지도</v>
      </c>
      <c r="C122" s="12" t="s">
        <v>59</v>
      </c>
      <c r="D122" s="12" t="s">
        <v>1724</v>
      </c>
      <c r="E122" s="12">
        <v>13</v>
      </c>
      <c r="F122" s="16">
        <v>2000</v>
      </c>
      <c r="G122" s="12">
        <v>95</v>
      </c>
      <c r="H122" s="16">
        <v>3500</v>
      </c>
      <c r="I122" s="12">
        <v>5</v>
      </c>
      <c r="J122" s="12" t="s">
        <v>210</v>
      </c>
    </row>
    <row r="123" spans="1:10" ht="26.4" customHeight="1">
      <c r="A123" s="12" t="s">
        <v>1725</v>
      </c>
      <c r="B123" s="14" t="str">
        <f>HYPERLINK("https://map.naver.com/?query=서울%20강동구%20성내동%20421-38","지도")</f>
        <v>지도</v>
      </c>
      <c r="C123" s="12" t="s">
        <v>1726</v>
      </c>
      <c r="D123" s="12" t="s">
        <v>66</v>
      </c>
      <c r="E123" s="12">
        <v>8</v>
      </c>
      <c r="F123" s="16">
        <v>1000</v>
      </c>
      <c r="G123" s="12">
        <v>100</v>
      </c>
      <c r="H123" s="12" t="s">
        <v>210</v>
      </c>
      <c r="I123" s="12" t="s">
        <v>930</v>
      </c>
      <c r="J123" s="12" t="s">
        <v>210</v>
      </c>
    </row>
    <row r="124" spans="1:10" ht="26.4" customHeight="1">
      <c r="A124" s="12" t="s">
        <v>1728</v>
      </c>
      <c r="B124" s="14" t="str">
        <f>HYPERLINK("https://map.naver.com/?query=서울%20구로구%20구로동%20182-13","지도")</f>
        <v>지도</v>
      </c>
      <c r="C124" s="12" t="s">
        <v>59</v>
      </c>
      <c r="D124" s="12" t="s">
        <v>66</v>
      </c>
      <c r="E124" s="12">
        <v>22</v>
      </c>
      <c r="F124" s="16">
        <v>5000</v>
      </c>
      <c r="G124" s="12">
        <v>270</v>
      </c>
      <c r="H124" s="12" t="s">
        <v>210</v>
      </c>
      <c r="I124" s="12" t="s">
        <v>1727</v>
      </c>
      <c r="J124" s="12" t="s">
        <v>210</v>
      </c>
    </row>
    <row r="125" spans="1:10" ht="26.4" customHeight="1">
      <c r="A125" s="12" t="s">
        <v>1730</v>
      </c>
      <c r="B125" s="14" t="str">
        <f>HYPERLINK("https://map.naver.com/?query=서울%20마포구%20용강동%20116-1","지도")</f>
        <v>지도</v>
      </c>
      <c r="C125" s="12" t="s">
        <v>59</v>
      </c>
      <c r="D125" s="12" t="s">
        <v>1731</v>
      </c>
      <c r="E125" s="12">
        <v>36.93</v>
      </c>
      <c r="F125" s="16">
        <v>4500</v>
      </c>
      <c r="G125" s="12">
        <v>420</v>
      </c>
      <c r="H125" s="16">
        <v>8500</v>
      </c>
      <c r="I125" s="12">
        <v>7</v>
      </c>
      <c r="J125" s="12" t="s">
        <v>210</v>
      </c>
    </row>
    <row r="126" spans="1:10" ht="26.4" customHeight="1">
      <c r="A126" s="12" t="s">
        <v>1732</v>
      </c>
      <c r="B126" s="14" t="str">
        <f>HYPERLINK("https://map.naver.com/?query=서울%20마포구%20용강동%20122-12","지도")</f>
        <v>지도</v>
      </c>
      <c r="C126" s="12" t="s">
        <v>59</v>
      </c>
      <c r="D126" s="12" t="s">
        <v>1733</v>
      </c>
      <c r="E126" s="12">
        <v>17.989999999999998</v>
      </c>
      <c r="F126" s="16">
        <v>2300</v>
      </c>
      <c r="G126" s="12">
        <v>250</v>
      </c>
      <c r="H126" s="16">
        <v>7000</v>
      </c>
      <c r="I126" s="12" t="s">
        <v>1729</v>
      </c>
      <c r="J126" s="12" t="s">
        <v>210</v>
      </c>
    </row>
    <row r="128" spans="1:10" ht="26.4" customHeight="1">
      <c r="A128" s="13" t="s">
        <v>0</v>
      </c>
      <c r="B128" s="13" t="s">
        <v>1452</v>
      </c>
      <c r="C128" s="13" t="s">
        <v>2</v>
      </c>
      <c r="D128" s="13" t="s">
        <v>1453</v>
      </c>
      <c r="E128" s="13" t="s">
        <v>918</v>
      </c>
      <c r="F128" s="13" t="s">
        <v>919</v>
      </c>
      <c r="G128" s="13" t="s">
        <v>1551</v>
      </c>
      <c r="H128" s="13" t="s">
        <v>921</v>
      </c>
      <c r="I128" s="13" t="s">
        <v>922</v>
      </c>
      <c r="J128" s="13" t="s">
        <v>8</v>
      </c>
    </row>
    <row r="129" spans="1:10" ht="26.4" customHeight="1">
      <c r="A129" s="12" t="s">
        <v>1734</v>
      </c>
      <c r="B129" s="14" t="s">
        <v>1735</v>
      </c>
      <c r="C129" s="12" t="s">
        <v>563</v>
      </c>
      <c r="D129" s="12"/>
      <c r="E129" s="12">
        <v>36.049999999999997</v>
      </c>
      <c r="F129" s="16">
        <v>5000</v>
      </c>
      <c r="G129" s="12">
        <v>340</v>
      </c>
      <c r="H129" s="12" t="s">
        <v>210</v>
      </c>
      <c r="I129" s="12" t="s">
        <v>1729</v>
      </c>
      <c r="J129" s="12" t="s">
        <v>1736</v>
      </c>
    </row>
    <row r="130" spans="1:10" ht="26.4" customHeight="1">
      <c r="A130" s="12" t="s">
        <v>1737</v>
      </c>
      <c r="B130" s="14" t="s">
        <v>1735</v>
      </c>
      <c r="C130" s="12" t="s">
        <v>1640</v>
      </c>
      <c r="D130" s="12"/>
      <c r="E130" s="12">
        <v>27</v>
      </c>
      <c r="F130" s="16">
        <v>3000</v>
      </c>
      <c r="G130" s="12">
        <v>210</v>
      </c>
      <c r="H130" s="12" t="s">
        <v>210</v>
      </c>
      <c r="I130" s="12">
        <v>25</v>
      </c>
      <c r="J130" s="12" t="s">
        <v>1738</v>
      </c>
    </row>
    <row r="131" spans="1:10" ht="26.4" customHeight="1">
      <c r="A131" s="12" t="s">
        <v>1739</v>
      </c>
      <c r="B131" s="14" t="s">
        <v>1735</v>
      </c>
      <c r="C131" s="12" t="s">
        <v>563</v>
      </c>
      <c r="D131" s="12"/>
      <c r="E131" s="12">
        <v>35</v>
      </c>
      <c r="F131" s="16">
        <v>10000</v>
      </c>
      <c r="G131" s="12">
        <v>900</v>
      </c>
      <c r="H131" s="12" t="s">
        <v>210</v>
      </c>
      <c r="I131" s="12">
        <v>100</v>
      </c>
      <c r="J131" s="12" t="s">
        <v>1740</v>
      </c>
    </row>
    <row r="132" spans="1:10" ht="26.4" customHeight="1">
      <c r="A132" s="12" t="s">
        <v>1741</v>
      </c>
      <c r="B132" s="14" t="s">
        <v>1766</v>
      </c>
      <c r="C132" s="12" t="s">
        <v>59</v>
      </c>
      <c r="D132" s="12" t="s">
        <v>1742</v>
      </c>
      <c r="E132" s="12">
        <v>40</v>
      </c>
      <c r="F132" s="16">
        <v>15000</v>
      </c>
      <c r="G132" s="12">
        <v>750</v>
      </c>
      <c r="H132" s="12" t="s">
        <v>210</v>
      </c>
      <c r="I132" s="12">
        <v>100</v>
      </c>
      <c r="J132" s="12"/>
    </row>
    <row r="133" spans="1:10" ht="26.4" customHeight="1">
      <c r="A133" s="12" t="s">
        <v>1743</v>
      </c>
      <c r="B133" s="14" t="s">
        <v>1766</v>
      </c>
      <c r="C133" s="12" t="s">
        <v>59</v>
      </c>
      <c r="D133" s="12" t="s">
        <v>1744</v>
      </c>
      <c r="E133" s="12">
        <v>20</v>
      </c>
      <c r="F133" s="16">
        <v>7000</v>
      </c>
      <c r="G133" s="12">
        <v>400</v>
      </c>
      <c r="H133" s="16">
        <v>5000</v>
      </c>
      <c r="I133" s="12">
        <v>38</v>
      </c>
      <c r="J133" s="12"/>
    </row>
    <row r="134" spans="1:10" ht="26.4" customHeight="1">
      <c r="A134" s="12" t="s">
        <v>1745</v>
      </c>
      <c r="B134" s="14" t="s">
        <v>1735</v>
      </c>
      <c r="C134" s="12" t="s">
        <v>59</v>
      </c>
      <c r="D134" s="12" t="s">
        <v>1746</v>
      </c>
      <c r="E134" s="12">
        <v>28.28</v>
      </c>
      <c r="F134" s="16">
        <v>10000</v>
      </c>
      <c r="G134" s="12">
        <v>650</v>
      </c>
      <c r="H134" s="16">
        <v>11000</v>
      </c>
      <c r="I134" s="12">
        <v>50</v>
      </c>
      <c r="J134" s="12"/>
    </row>
    <row r="135" spans="1:10" ht="26.4" customHeight="1">
      <c r="A135" s="12" t="s">
        <v>1747</v>
      </c>
      <c r="B135" s="14" t="s">
        <v>1735</v>
      </c>
      <c r="C135" s="12" t="s">
        <v>59</v>
      </c>
      <c r="D135" s="12" t="s">
        <v>1748</v>
      </c>
      <c r="E135" s="12">
        <v>30</v>
      </c>
      <c r="F135" s="16">
        <v>18000</v>
      </c>
      <c r="G135" s="16">
        <v>1500</v>
      </c>
      <c r="H135" s="16">
        <v>12000</v>
      </c>
      <c r="I135" s="12">
        <v>80</v>
      </c>
      <c r="J135" s="12"/>
    </row>
    <row r="136" spans="1:10" ht="26.4" customHeight="1">
      <c r="A136" s="12" t="s">
        <v>1749</v>
      </c>
      <c r="B136" s="14" t="s">
        <v>1735</v>
      </c>
      <c r="C136" s="12" t="s">
        <v>59</v>
      </c>
      <c r="D136" s="12" t="s">
        <v>1750</v>
      </c>
      <c r="E136" s="12">
        <v>30</v>
      </c>
      <c r="F136" s="16">
        <v>10000</v>
      </c>
      <c r="G136" s="12">
        <v>600</v>
      </c>
      <c r="H136" s="16">
        <v>7000</v>
      </c>
      <c r="I136" s="12"/>
      <c r="J136" s="12" t="s">
        <v>1751</v>
      </c>
    </row>
    <row r="137" spans="1:10" ht="26.4" customHeight="1">
      <c r="A137" s="12" t="s">
        <v>1752</v>
      </c>
      <c r="B137" s="14" t="s">
        <v>1766</v>
      </c>
      <c r="C137" s="12" t="s">
        <v>563</v>
      </c>
      <c r="D137" s="12"/>
      <c r="E137" s="12">
        <v>32</v>
      </c>
      <c r="F137" s="16">
        <v>12000</v>
      </c>
      <c r="G137" s="12">
        <v>950</v>
      </c>
      <c r="H137" s="12" t="s">
        <v>210</v>
      </c>
      <c r="I137" s="12"/>
      <c r="J137" s="12" t="s">
        <v>1753</v>
      </c>
    </row>
    <row r="138" spans="1:10" ht="26.4" customHeight="1">
      <c r="A138" s="12" t="s">
        <v>1754</v>
      </c>
      <c r="B138" s="14" t="s">
        <v>1766</v>
      </c>
      <c r="C138" s="12" t="s">
        <v>1768</v>
      </c>
      <c r="D138" s="12"/>
      <c r="E138" s="12">
        <v>37</v>
      </c>
      <c r="F138" s="16">
        <v>10000</v>
      </c>
      <c r="G138" s="12">
        <v>600</v>
      </c>
      <c r="H138" s="12" t="s">
        <v>210</v>
      </c>
      <c r="I138" s="12"/>
      <c r="J138" s="12" t="s">
        <v>1755</v>
      </c>
    </row>
    <row r="139" spans="1:10" ht="26.4" customHeight="1">
      <c r="A139" s="12" t="s">
        <v>1756</v>
      </c>
      <c r="B139" s="14" t="s">
        <v>1766</v>
      </c>
      <c r="C139" s="12" t="s">
        <v>59</v>
      </c>
      <c r="D139" s="12"/>
      <c r="E139" s="12">
        <v>50</v>
      </c>
      <c r="F139" s="16">
        <v>10000</v>
      </c>
      <c r="G139" s="12">
        <v>680</v>
      </c>
      <c r="H139" s="16">
        <v>5000</v>
      </c>
      <c r="I139" s="12">
        <v>145</v>
      </c>
      <c r="J139" s="12" t="s">
        <v>1757</v>
      </c>
    </row>
    <row r="140" spans="1:10" ht="26.4" customHeight="1">
      <c r="A140" s="12" t="s">
        <v>1758</v>
      </c>
      <c r="B140" s="14" t="s">
        <v>1735</v>
      </c>
      <c r="C140" s="12" t="s">
        <v>59</v>
      </c>
      <c r="D140" s="12" t="s">
        <v>1759</v>
      </c>
      <c r="E140" s="12">
        <v>50</v>
      </c>
      <c r="F140" s="16">
        <v>10000</v>
      </c>
      <c r="G140" s="12">
        <v>720</v>
      </c>
      <c r="H140" s="16">
        <v>25000</v>
      </c>
      <c r="I140" s="12">
        <v>60</v>
      </c>
      <c r="J140" s="12"/>
    </row>
    <row r="141" spans="1:10" ht="26.4" customHeight="1">
      <c r="A141" s="12" t="s">
        <v>1760</v>
      </c>
      <c r="B141" s="14" t="s">
        <v>1766</v>
      </c>
      <c r="C141" s="12" t="s">
        <v>450</v>
      </c>
      <c r="D141" s="37" t="s">
        <v>1767</v>
      </c>
      <c r="E141" s="12">
        <v>75</v>
      </c>
      <c r="F141" s="16">
        <v>5000</v>
      </c>
      <c r="G141" s="12">
        <v>700</v>
      </c>
      <c r="H141" s="16">
        <v>9000</v>
      </c>
      <c r="I141" s="12">
        <v>0</v>
      </c>
      <c r="J141" s="12" t="s">
        <v>1761</v>
      </c>
    </row>
    <row r="142" spans="1:10" ht="26.4" customHeight="1">
      <c r="A142" s="12" t="s">
        <v>1762</v>
      </c>
      <c r="B142" s="14" t="s">
        <v>1766</v>
      </c>
      <c r="C142" s="12" t="s">
        <v>450</v>
      </c>
      <c r="D142" s="12"/>
      <c r="E142" s="12">
        <v>50</v>
      </c>
      <c r="F142" s="16">
        <v>3000</v>
      </c>
      <c r="G142" s="12">
        <v>490</v>
      </c>
      <c r="H142" s="16">
        <v>9000</v>
      </c>
      <c r="I142" s="12">
        <v>40</v>
      </c>
      <c r="J142" s="12" t="s">
        <v>1763</v>
      </c>
    </row>
    <row r="143" spans="1:10" ht="26.4" customHeight="1">
      <c r="A143" s="12" t="s">
        <v>1764</v>
      </c>
      <c r="B143" s="14" t="s">
        <v>1766</v>
      </c>
      <c r="C143" s="12" t="s">
        <v>59</v>
      </c>
      <c r="D143" s="12" t="s">
        <v>620</v>
      </c>
      <c r="E143" s="12">
        <v>35</v>
      </c>
      <c r="F143" s="16">
        <v>3000</v>
      </c>
      <c r="G143" s="12">
        <v>260</v>
      </c>
      <c r="H143" s="16">
        <v>3000</v>
      </c>
      <c r="I143" s="12">
        <v>5</v>
      </c>
      <c r="J143" s="12" t="s">
        <v>1765</v>
      </c>
    </row>
    <row r="145" spans="1:10" ht="26.4" customHeight="1">
      <c r="A145" s="13" t="s">
        <v>0</v>
      </c>
      <c r="B145" s="13" t="s">
        <v>1452</v>
      </c>
      <c r="C145" s="13" t="s">
        <v>2</v>
      </c>
      <c r="D145" s="13" t="s">
        <v>1453</v>
      </c>
      <c r="E145" s="13" t="s">
        <v>918</v>
      </c>
      <c r="F145" s="13" t="s">
        <v>919</v>
      </c>
      <c r="G145" s="13" t="s">
        <v>1551</v>
      </c>
      <c r="H145" s="13" t="s">
        <v>921</v>
      </c>
      <c r="I145" s="13" t="s">
        <v>922</v>
      </c>
      <c r="J145" s="13" t="s">
        <v>8</v>
      </c>
    </row>
    <row r="146" spans="1:10" ht="26.4" customHeight="1">
      <c r="A146" s="12" t="s">
        <v>1769</v>
      </c>
      <c r="B146" s="14" t="s">
        <v>1735</v>
      </c>
      <c r="C146" s="12" t="s">
        <v>59</v>
      </c>
      <c r="D146" s="12" t="s">
        <v>1770</v>
      </c>
      <c r="E146" s="12">
        <v>32</v>
      </c>
      <c r="F146" s="16">
        <v>3000</v>
      </c>
      <c r="G146" s="12">
        <v>295</v>
      </c>
      <c r="H146" s="16">
        <v>1000</v>
      </c>
      <c r="I146" s="12"/>
      <c r="J146" s="12"/>
    </row>
    <row r="147" spans="1:10" ht="26.4" customHeight="1">
      <c r="A147" s="12" t="s">
        <v>1771</v>
      </c>
      <c r="B147" s="14" t="s">
        <v>1735</v>
      </c>
      <c r="C147" s="12" t="s">
        <v>59</v>
      </c>
      <c r="D147" s="12" t="s">
        <v>1772</v>
      </c>
      <c r="E147" s="12">
        <v>30</v>
      </c>
      <c r="F147" s="16">
        <v>3000</v>
      </c>
      <c r="G147" s="12">
        <v>230</v>
      </c>
      <c r="H147" s="16">
        <v>1000</v>
      </c>
      <c r="I147" s="12"/>
      <c r="J147" s="12"/>
    </row>
    <row r="148" spans="1:10" ht="26.4" customHeight="1">
      <c r="A148" s="12" t="s">
        <v>1773</v>
      </c>
      <c r="B148" s="14" t="s">
        <v>1735</v>
      </c>
      <c r="C148" s="12" t="s">
        <v>59</v>
      </c>
      <c r="D148" s="12"/>
      <c r="E148" s="12">
        <v>53</v>
      </c>
      <c r="F148" s="16">
        <v>10000</v>
      </c>
      <c r="G148" s="12">
        <v>950</v>
      </c>
      <c r="H148" s="16">
        <v>20000</v>
      </c>
      <c r="I148" s="12" t="s">
        <v>930</v>
      </c>
      <c r="J148" s="12" t="s">
        <v>1774</v>
      </c>
    </row>
    <row r="149" spans="1:10" ht="26.4" customHeight="1">
      <c r="A149" s="12" t="s">
        <v>1775</v>
      </c>
      <c r="B149" s="14" t="s">
        <v>1735</v>
      </c>
      <c r="C149" s="12" t="s">
        <v>59</v>
      </c>
      <c r="D149" s="12" t="s">
        <v>1776</v>
      </c>
      <c r="E149" s="12">
        <v>43</v>
      </c>
      <c r="F149" s="16">
        <v>5000</v>
      </c>
      <c r="G149" s="12">
        <v>450</v>
      </c>
      <c r="H149" s="16">
        <v>2000</v>
      </c>
      <c r="I149" s="12"/>
      <c r="J149" s="12" t="s">
        <v>1777</v>
      </c>
    </row>
    <row r="150" spans="1:10" ht="26.4" customHeight="1">
      <c r="A150" s="12" t="s">
        <v>1778</v>
      </c>
      <c r="B150" s="14" t="s">
        <v>1735</v>
      </c>
      <c r="C150" s="12" t="s">
        <v>563</v>
      </c>
      <c r="D150" s="12"/>
      <c r="E150" s="12">
        <v>25</v>
      </c>
      <c r="F150" s="16">
        <v>4000</v>
      </c>
      <c r="G150" s="12">
        <v>280</v>
      </c>
      <c r="H150" s="12" t="s">
        <v>210</v>
      </c>
      <c r="I150" s="12"/>
      <c r="J150" s="12" t="s">
        <v>1779</v>
      </c>
    </row>
    <row r="151" spans="1:10" ht="26.4" customHeight="1">
      <c r="A151" s="12" t="s">
        <v>1780</v>
      </c>
      <c r="B151" s="14" t="s">
        <v>1766</v>
      </c>
      <c r="C151" s="12" t="s">
        <v>59</v>
      </c>
      <c r="D151" s="12" t="s">
        <v>1781</v>
      </c>
      <c r="E151" s="12">
        <v>35</v>
      </c>
      <c r="F151" s="16">
        <v>4000</v>
      </c>
      <c r="G151" s="12">
        <v>330</v>
      </c>
      <c r="H151" s="12" t="s">
        <v>210</v>
      </c>
      <c r="I151" s="12"/>
      <c r="J151" s="12"/>
    </row>
    <row r="152" spans="1:10" ht="26.4" customHeight="1">
      <c r="A152" s="12" t="s">
        <v>1782</v>
      </c>
      <c r="B152" s="14" t="s">
        <v>1735</v>
      </c>
      <c r="C152" s="12" t="s">
        <v>59</v>
      </c>
      <c r="D152" s="12" t="s">
        <v>1783</v>
      </c>
      <c r="E152" s="12">
        <v>30</v>
      </c>
      <c r="F152" s="16">
        <v>4000</v>
      </c>
      <c r="G152" s="12">
        <v>200</v>
      </c>
      <c r="H152" s="12" t="s">
        <v>210</v>
      </c>
      <c r="I152" s="12"/>
      <c r="J152" s="12" t="s">
        <v>1784</v>
      </c>
    </row>
    <row r="153" spans="1:10" ht="26.4" customHeight="1">
      <c r="A153" s="12" t="s">
        <v>1785</v>
      </c>
      <c r="B153" s="14" t="s">
        <v>1735</v>
      </c>
      <c r="C153" s="12" t="s">
        <v>59</v>
      </c>
      <c r="D153" s="12" t="s">
        <v>1786</v>
      </c>
      <c r="E153" s="12">
        <v>45</v>
      </c>
      <c r="F153" s="16">
        <v>7000</v>
      </c>
      <c r="G153" s="12">
        <v>600</v>
      </c>
      <c r="H153" s="16">
        <v>10000</v>
      </c>
      <c r="I153" s="12">
        <v>50</v>
      </c>
      <c r="J153" s="12" t="s">
        <v>1787</v>
      </c>
    </row>
    <row r="154" spans="1:10" ht="26.4" customHeight="1">
      <c r="A154" s="12" t="s">
        <v>1788</v>
      </c>
      <c r="B154" s="14" t="s">
        <v>1735</v>
      </c>
      <c r="C154" s="12" t="s">
        <v>1789</v>
      </c>
      <c r="D154" s="12" t="s">
        <v>1790</v>
      </c>
      <c r="E154" s="12">
        <v>29.4</v>
      </c>
      <c r="F154" s="16">
        <v>5000</v>
      </c>
      <c r="G154" s="12">
        <v>300</v>
      </c>
      <c r="H154" s="16">
        <v>7000</v>
      </c>
      <c r="I154" s="12">
        <v>34</v>
      </c>
      <c r="J154" s="12" t="s">
        <v>1791</v>
      </c>
    </row>
    <row r="155" spans="1:10" ht="26.4" customHeight="1">
      <c r="A155" s="12" t="s">
        <v>1792</v>
      </c>
      <c r="B155" s="14" t="s">
        <v>1735</v>
      </c>
      <c r="C155" s="12" t="s">
        <v>1793</v>
      </c>
      <c r="D155" s="12" t="s">
        <v>1794</v>
      </c>
      <c r="E155" s="12">
        <v>25.7</v>
      </c>
      <c r="F155" s="16">
        <v>3000</v>
      </c>
      <c r="G155" s="12">
        <v>200</v>
      </c>
      <c r="H155" s="12" t="s">
        <v>210</v>
      </c>
      <c r="I155" s="12">
        <v>3</v>
      </c>
      <c r="J155" s="12" t="s">
        <v>1795</v>
      </c>
    </row>
    <row r="156" spans="1:10" ht="26.4" customHeight="1">
      <c r="A156" s="12" t="s">
        <v>1796</v>
      </c>
      <c r="B156" s="14" t="s">
        <v>1735</v>
      </c>
      <c r="C156" s="12" t="s">
        <v>563</v>
      </c>
      <c r="D156" s="12"/>
      <c r="E156" s="12">
        <v>32.46</v>
      </c>
      <c r="F156" s="16">
        <v>5000</v>
      </c>
      <c r="G156" s="12">
        <v>300</v>
      </c>
      <c r="H156" s="12" t="s">
        <v>210</v>
      </c>
      <c r="I156" s="12">
        <v>20</v>
      </c>
      <c r="J156" s="12" t="s">
        <v>1797</v>
      </c>
    </row>
    <row r="157" spans="1:10" ht="26.4" customHeight="1">
      <c r="A157" s="12" t="s">
        <v>1798</v>
      </c>
      <c r="B157" s="14" t="s">
        <v>1735</v>
      </c>
      <c r="C157" s="12" t="s">
        <v>563</v>
      </c>
      <c r="D157" s="12"/>
      <c r="E157" s="12">
        <v>40</v>
      </c>
      <c r="F157" s="16">
        <v>4000</v>
      </c>
      <c r="G157" s="12">
        <v>300</v>
      </c>
      <c r="H157" s="12" t="s">
        <v>210</v>
      </c>
      <c r="I157" s="12" t="s">
        <v>1799</v>
      </c>
      <c r="J157" s="12" t="s">
        <v>1800</v>
      </c>
    </row>
    <row r="158" spans="1:10" ht="26.4" customHeight="1">
      <c r="A158" s="12" t="s">
        <v>1801</v>
      </c>
      <c r="B158" s="14" t="s">
        <v>1735</v>
      </c>
      <c r="C158" s="12" t="s">
        <v>584</v>
      </c>
      <c r="D158" s="12"/>
      <c r="E158" s="12">
        <v>45</v>
      </c>
      <c r="F158" s="16">
        <v>4000</v>
      </c>
      <c r="G158" s="12">
        <v>180</v>
      </c>
      <c r="H158" s="12" t="s">
        <v>210</v>
      </c>
      <c r="I158" s="12">
        <v>12</v>
      </c>
      <c r="J158" s="12"/>
    </row>
    <row r="159" spans="1:10" ht="26.4" customHeight="1">
      <c r="A159" s="12" t="s">
        <v>1802</v>
      </c>
      <c r="B159" s="14" t="s">
        <v>1735</v>
      </c>
      <c r="C159" s="12" t="s">
        <v>584</v>
      </c>
      <c r="D159" s="12"/>
      <c r="E159" s="12">
        <v>24</v>
      </c>
      <c r="F159" s="16">
        <v>2000</v>
      </c>
      <c r="G159" s="12">
        <v>150</v>
      </c>
      <c r="H159" s="12" t="s">
        <v>210</v>
      </c>
      <c r="I159" s="12" t="s">
        <v>210</v>
      </c>
      <c r="J159" s="12" t="s">
        <v>1803</v>
      </c>
    </row>
    <row r="160" spans="1:10" ht="26.4" customHeight="1">
      <c r="A160" s="12" t="s">
        <v>1804</v>
      </c>
      <c r="B160" s="14" t="s">
        <v>1735</v>
      </c>
      <c r="C160" s="12" t="s">
        <v>584</v>
      </c>
      <c r="D160" s="12"/>
      <c r="E160" s="12">
        <v>60</v>
      </c>
      <c r="F160" s="16">
        <v>8000</v>
      </c>
      <c r="G160" s="12">
        <v>300</v>
      </c>
      <c r="H160" s="12" t="s">
        <v>210</v>
      </c>
      <c r="I160" s="12">
        <v>30</v>
      </c>
      <c r="J160" s="12"/>
    </row>
    <row r="161" spans="1:10" ht="26.4" customHeight="1">
      <c r="A161" s="12" t="s">
        <v>1805</v>
      </c>
      <c r="B161" s="14" t="s">
        <v>1735</v>
      </c>
      <c r="C161" s="12" t="s">
        <v>584</v>
      </c>
      <c r="D161" s="12"/>
      <c r="E161" s="12">
        <v>35</v>
      </c>
      <c r="F161" s="16">
        <v>2000</v>
      </c>
      <c r="G161" s="12">
        <v>210</v>
      </c>
      <c r="H161" s="12" t="s">
        <v>210</v>
      </c>
      <c r="I161" s="12" t="s">
        <v>1799</v>
      </c>
      <c r="J161" s="12" t="s">
        <v>1806</v>
      </c>
    </row>
    <row r="162" spans="1:10" ht="26.4" customHeight="1">
      <c r="A162" s="12" t="s">
        <v>1807</v>
      </c>
      <c r="B162" s="14" t="s">
        <v>1735</v>
      </c>
      <c r="C162" s="12" t="s">
        <v>59</v>
      </c>
      <c r="D162" s="12" t="s">
        <v>1808</v>
      </c>
      <c r="E162" s="12">
        <v>32</v>
      </c>
      <c r="F162" s="16">
        <v>5000</v>
      </c>
      <c r="G162" s="12">
        <v>440</v>
      </c>
      <c r="H162" s="16">
        <v>10000</v>
      </c>
      <c r="I162" s="12">
        <v>40</v>
      </c>
      <c r="J162" s="12" t="s">
        <v>1809</v>
      </c>
    </row>
    <row r="163" spans="1:10" ht="26.4" customHeight="1">
      <c r="A163" s="12" t="s">
        <v>1810</v>
      </c>
      <c r="B163" s="14" t="s">
        <v>1735</v>
      </c>
      <c r="C163" s="12" t="s">
        <v>563</v>
      </c>
      <c r="D163" s="12"/>
      <c r="E163" s="12">
        <v>19</v>
      </c>
      <c r="F163" s="16">
        <v>4000</v>
      </c>
      <c r="G163" s="12">
        <v>280</v>
      </c>
      <c r="H163" s="12" t="s">
        <v>210</v>
      </c>
      <c r="I163" s="12" t="s">
        <v>210</v>
      </c>
      <c r="J163" s="12" t="s">
        <v>1811</v>
      </c>
    </row>
    <row r="164" spans="1:10" ht="26.4" customHeight="1">
      <c r="A164" s="12" t="s">
        <v>1812</v>
      </c>
      <c r="B164" s="14" t="s">
        <v>1735</v>
      </c>
      <c r="C164" s="12" t="s">
        <v>59</v>
      </c>
      <c r="D164" s="12" t="s">
        <v>1813</v>
      </c>
      <c r="E164" s="12">
        <v>15</v>
      </c>
      <c r="F164" s="16">
        <v>5000</v>
      </c>
      <c r="G164" s="12">
        <v>340</v>
      </c>
      <c r="H164" s="16">
        <v>5000</v>
      </c>
      <c r="I164" s="12">
        <v>40</v>
      </c>
      <c r="J164" s="12" t="s">
        <v>1814</v>
      </c>
    </row>
    <row r="165" spans="1:10" ht="26.4" customHeight="1">
      <c r="A165" s="12" t="s">
        <v>1815</v>
      </c>
      <c r="B165" s="14" t="s">
        <v>1735</v>
      </c>
      <c r="C165" s="12" t="s">
        <v>584</v>
      </c>
      <c r="D165" s="12"/>
      <c r="E165" s="12">
        <v>46</v>
      </c>
      <c r="F165" s="16">
        <v>10000</v>
      </c>
      <c r="G165" s="12">
        <v>550</v>
      </c>
      <c r="H165" s="12" t="s">
        <v>210</v>
      </c>
      <c r="I165" s="12">
        <v>100</v>
      </c>
      <c r="J165" s="12" t="s">
        <v>1816</v>
      </c>
    </row>
    <row r="166" spans="1:10" ht="26.4" customHeight="1">
      <c r="A166" s="12" t="s">
        <v>1817</v>
      </c>
      <c r="B166" s="14" t="s">
        <v>1766</v>
      </c>
      <c r="C166" s="12" t="s">
        <v>60</v>
      </c>
      <c r="D166" s="12" t="s">
        <v>1818</v>
      </c>
      <c r="E166" s="12">
        <v>50</v>
      </c>
      <c r="F166" s="16">
        <v>4000</v>
      </c>
      <c r="G166" s="12">
        <v>370</v>
      </c>
      <c r="H166" s="16">
        <v>12000</v>
      </c>
      <c r="I166" s="12">
        <v>63</v>
      </c>
      <c r="J166" s="12" t="s">
        <v>1819</v>
      </c>
    </row>
    <row r="167" spans="1:10" ht="26.4" customHeight="1">
      <c r="A167" s="12" t="s">
        <v>1820</v>
      </c>
      <c r="B167" s="14" t="s">
        <v>1735</v>
      </c>
      <c r="C167" s="12" t="s">
        <v>59</v>
      </c>
      <c r="D167" s="12" t="s">
        <v>1821</v>
      </c>
      <c r="E167" s="12">
        <v>54</v>
      </c>
      <c r="F167" s="16">
        <v>8000</v>
      </c>
      <c r="G167" s="12">
        <v>420</v>
      </c>
      <c r="H167" s="16">
        <v>17000</v>
      </c>
      <c r="I167" s="12" t="s">
        <v>210</v>
      </c>
      <c r="J167" s="12" t="s">
        <v>1822</v>
      </c>
    </row>
    <row r="168" spans="1:10" ht="26.4" customHeight="1">
      <c r="A168" s="12" t="s">
        <v>1823</v>
      </c>
      <c r="B168" s="14" t="s">
        <v>1735</v>
      </c>
      <c r="C168" s="12" t="s">
        <v>60</v>
      </c>
      <c r="D168" s="12" t="s">
        <v>1824</v>
      </c>
      <c r="E168" s="12">
        <v>50</v>
      </c>
      <c r="F168" s="16">
        <v>3500</v>
      </c>
      <c r="G168" s="12">
        <v>120</v>
      </c>
      <c r="H168" s="16">
        <v>2500</v>
      </c>
      <c r="I168" s="12">
        <v>25</v>
      </c>
      <c r="J168" s="12" t="s">
        <v>1825</v>
      </c>
    </row>
    <row r="169" spans="1:10" ht="26.4" customHeight="1">
      <c r="A169" s="12" t="s">
        <v>1826</v>
      </c>
      <c r="B169" s="14" t="s">
        <v>1735</v>
      </c>
      <c r="C169" s="12" t="s">
        <v>59</v>
      </c>
      <c r="D169" s="12" t="s">
        <v>1827</v>
      </c>
      <c r="E169" s="12">
        <v>70</v>
      </c>
      <c r="F169" s="16">
        <v>4000</v>
      </c>
      <c r="G169" s="12">
        <v>250</v>
      </c>
      <c r="H169" s="16">
        <v>5000</v>
      </c>
      <c r="I169" s="12" t="s">
        <v>210</v>
      </c>
      <c r="J169" s="12" t="s">
        <v>1828</v>
      </c>
    </row>
    <row r="170" spans="1:10" ht="26.4" customHeight="1">
      <c r="A170" s="12" t="s">
        <v>1829</v>
      </c>
      <c r="B170" s="14" t="s">
        <v>1735</v>
      </c>
      <c r="C170" s="12" t="s">
        <v>563</v>
      </c>
      <c r="D170" s="12"/>
      <c r="E170" s="12">
        <v>77</v>
      </c>
      <c r="F170" s="16">
        <v>6000</v>
      </c>
      <c r="G170" s="12">
        <v>410</v>
      </c>
      <c r="H170" s="12" t="s">
        <v>210</v>
      </c>
      <c r="I170" s="12" t="s">
        <v>210</v>
      </c>
      <c r="J170" s="12" t="s">
        <v>1830</v>
      </c>
    </row>
    <row r="171" spans="1:10" ht="26.4" customHeight="1">
      <c r="A171" s="12" t="s">
        <v>1831</v>
      </c>
      <c r="B171" s="14" t="s">
        <v>1766</v>
      </c>
      <c r="C171" s="12" t="s">
        <v>110</v>
      </c>
      <c r="D171" s="12" t="s">
        <v>1847</v>
      </c>
      <c r="E171" s="12">
        <v>188</v>
      </c>
      <c r="F171" s="16">
        <v>5000</v>
      </c>
      <c r="G171" s="12">
        <v>480</v>
      </c>
      <c r="H171" s="16">
        <v>10000</v>
      </c>
      <c r="I171" s="12" t="s">
        <v>210</v>
      </c>
      <c r="J171" s="12" t="s">
        <v>1832</v>
      </c>
    </row>
    <row r="172" spans="1:10" ht="26.4" customHeight="1">
      <c r="A172" s="12" t="s">
        <v>1282</v>
      </c>
      <c r="B172" s="14" t="s">
        <v>1735</v>
      </c>
      <c r="C172" s="12" t="s">
        <v>59</v>
      </c>
      <c r="D172" s="12" t="s">
        <v>1833</v>
      </c>
      <c r="E172" s="12">
        <v>52</v>
      </c>
      <c r="F172" s="16">
        <v>6000</v>
      </c>
      <c r="G172" s="12">
        <v>420</v>
      </c>
      <c r="H172" s="16">
        <v>10000</v>
      </c>
      <c r="I172" s="12" t="s">
        <v>210</v>
      </c>
      <c r="J172" s="12" t="s">
        <v>1834</v>
      </c>
    </row>
    <row r="173" spans="1:10" ht="26.4" customHeight="1">
      <c r="A173" s="12" t="s">
        <v>1835</v>
      </c>
      <c r="B173" s="14" t="s">
        <v>1735</v>
      </c>
      <c r="C173" s="12" t="s">
        <v>59</v>
      </c>
      <c r="D173" s="12" t="s">
        <v>1836</v>
      </c>
      <c r="E173" s="12">
        <v>12</v>
      </c>
      <c r="F173" s="16">
        <v>5000</v>
      </c>
      <c r="G173" s="12">
        <v>200</v>
      </c>
      <c r="H173" s="12" t="s">
        <v>1548</v>
      </c>
      <c r="I173" s="12">
        <v>18</v>
      </c>
      <c r="J173" s="12" t="s">
        <v>1837</v>
      </c>
    </row>
    <row r="174" spans="1:10" ht="26.4" customHeight="1">
      <c r="A174" s="12" t="s">
        <v>1838</v>
      </c>
      <c r="B174" s="14" t="s">
        <v>1735</v>
      </c>
      <c r="C174" s="12" t="s">
        <v>563</v>
      </c>
      <c r="D174" s="12"/>
      <c r="E174" s="12">
        <v>12</v>
      </c>
      <c r="F174" s="16">
        <v>6000</v>
      </c>
      <c r="G174" s="12">
        <v>260</v>
      </c>
      <c r="H174" s="12" t="s">
        <v>1548</v>
      </c>
      <c r="I174" s="12" t="s">
        <v>1729</v>
      </c>
      <c r="J174" s="12" t="s">
        <v>1839</v>
      </c>
    </row>
    <row r="175" spans="1:10" ht="26.4" customHeight="1">
      <c r="A175" s="12" t="s">
        <v>1840</v>
      </c>
      <c r="B175" s="14" t="s">
        <v>1735</v>
      </c>
      <c r="C175" s="12" t="s">
        <v>59</v>
      </c>
      <c r="D175" s="12" t="s">
        <v>573</v>
      </c>
      <c r="E175" s="12">
        <v>22</v>
      </c>
      <c r="F175" s="16">
        <v>5000</v>
      </c>
      <c r="G175" s="12">
        <v>290</v>
      </c>
      <c r="H175" s="12" t="s">
        <v>1548</v>
      </c>
      <c r="I175" s="12">
        <v>20</v>
      </c>
      <c r="J175" s="12" t="s">
        <v>1841</v>
      </c>
    </row>
    <row r="176" spans="1:10" ht="26.4" customHeight="1">
      <c r="A176" s="12" t="s">
        <v>1842</v>
      </c>
      <c r="B176" s="14" t="s">
        <v>1766</v>
      </c>
      <c r="C176" s="12" t="s">
        <v>563</v>
      </c>
      <c r="D176" s="12"/>
      <c r="E176" s="12">
        <v>30</v>
      </c>
      <c r="F176" s="16">
        <v>5000</v>
      </c>
      <c r="G176" s="12">
        <v>450</v>
      </c>
      <c r="H176" s="12" t="s">
        <v>1548</v>
      </c>
      <c r="I176" s="12" t="s">
        <v>210</v>
      </c>
      <c r="J176" s="12" t="s">
        <v>1843</v>
      </c>
    </row>
    <row r="177" spans="1:11" ht="26.4" customHeight="1">
      <c r="A177" s="12" t="s">
        <v>1844</v>
      </c>
      <c r="B177" s="14" t="s">
        <v>1766</v>
      </c>
      <c r="C177" s="12" t="s">
        <v>59</v>
      </c>
      <c r="D177" s="12" t="s">
        <v>1845</v>
      </c>
      <c r="E177" s="12">
        <v>100</v>
      </c>
      <c r="F177" s="16">
        <v>15000</v>
      </c>
      <c r="G177" s="16">
        <v>1000</v>
      </c>
      <c r="H177" s="12" t="s">
        <v>1548</v>
      </c>
      <c r="J177" s="12" t="s">
        <v>1846</v>
      </c>
    </row>
    <row r="178" spans="1:11" ht="26.4" customHeight="1">
      <c r="K178" s="12"/>
    </row>
    <row r="179" spans="1:11" ht="26.4" customHeight="1">
      <c r="A179" s="13" t="s">
        <v>0</v>
      </c>
      <c r="B179" s="13" t="s">
        <v>1848</v>
      </c>
      <c r="C179" s="13" t="s">
        <v>2</v>
      </c>
      <c r="D179" s="13" t="s">
        <v>1453</v>
      </c>
      <c r="E179" s="13" t="s">
        <v>918</v>
      </c>
      <c r="F179" s="13" t="s">
        <v>919</v>
      </c>
      <c r="G179" s="13" t="s">
        <v>1551</v>
      </c>
      <c r="H179" s="13" t="s">
        <v>921</v>
      </c>
      <c r="I179" s="13" t="s">
        <v>922</v>
      </c>
      <c r="J179" s="13" t="s">
        <v>8</v>
      </c>
    </row>
    <row r="180" spans="1:11" ht="26.4" customHeight="1">
      <c r="A180" s="12" t="s">
        <v>1849</v>
      </c>
      <c r="B180" s="14" t="s">
        <v>1848</v>
      </c>
      <c r="C180" s="12" t="s">
        <v>1850</v>
      </c>
      <c r="D180" s="12" t="s">
        <v>1851</v>
      </c>
      <c r="E180" s="12">
        <v>90</v>
      </c>
      <c r="F180" s="16">
        <v>9000</v>
      </c>
      <c r="G180" s="16">
        <v>1090</v>
      </c>
      <c r="H180" s="12" t="s">
        <v>1548</v>
      </c>
      <c r="I180" s="12"/>
      <c r="J180" s="12" t="s">
        <v>1852</v>
      </c>
    </row>
    <row r="181" spans="1:11" ht="26.4" customHeight="1">
      <c r="A181" s="12" t="s">
        <v>1853</v>
      </c>
      <c r="B181" s="14" t="s">
        <v>1848</v>
      </c>
      <c r="C181" s="12" t="s">
        <v>59</v>
      </c>
      <c r="D181" s="12" t="s">
        <v>1854</v>
      </c>
      <c r="E181" s="12">
        <v>12</v>
      </c>
      <c r="F181" s="16">
        <v>2000</v>
      </c>
      <c r="G181" s="12">
        <v>220</v>
      </c>
      <c r="H181" s="16">
        <v>4000</v>
      </c>
      <c r="I181" s="12" t="s">
        <v>1799</v>
      </c>
      <c r="J181" s="12" t="s">
        <v>1855</v>
      </c>
    </row>
    <row r="182" spans="1:11" ht="26.4" customHeight="1">
      <c r="A182" s="12" t="s">
        <v>1856</v>
      </c>
      <c r="B182" s="14" t="s">
        <v>1848</v>
      </c>
      <c r="C182" s="12" t="s">
        <v>59</v>
      </c>
      <c r="D182" s="12" t="s">
        <v>1857</v>
      </c>
      <c r="E182" s="12">
        <v>25</v>
      </c>
      <c r="F182" s="16">
        <v>4000</v>
      </c>
      <c r="G182" s="12">
        <v>250</v>
      </c>
      <c r="H182" s="16">
        <v>3000</v>
      </c>
      <c r="I182" s="12" t="s">
        <v>1858</v>
      </c>
      <c r="J182" s="12" t="s">
        <v>1859</v>
      </c>
    </row>
    <row r="183" spans="1:11" ht="26.4" customHeight="1">
      <c r="A183" s="12" t="s">
        <v>1856</v>
      </c>
      <c r="B183" s="14" t="s">
        <v>1848</v>
      </c>
      <c r="C183" s="12" t="s">
        <v>584</v>
      </c>
      <c r="D183" s="12"/>
      <c r="E183" s="12">
        <v>93</v>
      </c>
      <c r="F183" s="16">
        <v>3000</v>
      </c>
      <c r="G183" s="12">
        <v>350</v>
      </c>
      <c r="H183" s="12" t="s">
        <v>1548</v>
      </c>
      <c r="I183" s="12" t="s">
        <v>1858</v>
      </c>
      <c r="J183" s="12" t="s">
        <v>1860</v>
      </c>
    </row>
    <row r="184" spans="1:11" ht="26.4" customHeight="1">
      <c r="A184" s="12" t="s">
        <v>1861</v>
      </c>
      <c r="B184" s="14" t="s">
        <v>1848</v>
      </c>
      <c r="C184" s="12" t="s">
        <v>563</v>
      </c>
      <c r="D184" s="12"/>
      <c r="E184" s="12">
        <v>21</v>
      </c>
      <c r="F184" s="16">
        <v>3000</v>
      </c>
      <c r="G184" s="12">
        <v>230</v>
      </c>
      <c r="H184" s="12" t="s">
        <v>1548</v>
      </c>
      <c r="I184" s="12" t="s">
        <v>210</v>
      </c>
      <c r="J184" s="12" t="s">
        <v>1862</v>
      </c>
    </row>
    <row r="185" spans="1:11" ht="26.4" customHeight="1">
      <c r="A185" s="12" t="s">
        <v>1863</v>
      </c>
      <c r="B185" s="14" t="s">
        <v>1848</v>
      </c>
      <c r="C185" s="12" t="s">
        <v>59</v>
      </c>
      <c r="D185" s="12" t="s">
        <v>1864</v>
      </c>
      <c r="E185" s="12">
        <v>157</v>
      </c>
      <c r="F185" s="16">
        <v>10000</v>
      </c>
      <c r="G185" s="16">
        <v>1200</v>
      </c>
      <c r="H185" s="12" t="s">
        <v>1548</v>
      </c>
      <c r="I185" s="12">
        <v>200</v>
      </c>
      <c r="J185" s="12" t="s">
        <v>1865</v>
      </c>
    </row>
    <row r="186" spans="1:11" ht="26.4" customHeight="1">
      <c r="A186" s="12" t="s">
        <v>1866</v>
      </c>
      <c r="B186" s="14" t="s">
        <v>1848</v>
      </c>
      <c r="C186" s="12" t="s">
        <v>59</v>
      </c>
      <c r="D186" s="12" t="s">
        <v>1867</v>
      </c>
      <c r="E186" s="12">
        <v>70</v>
      </c>
      <c r="F186" s="16">
        <v>5000</v>
      </c>
      <c r="G186" s="12">
        <v>650</v>
      </c>
      <c r="H186" s="16">
        <v>10000</v>
      </c>
      <c r="I186" s="12" t="s">
        <v>210</v>
      </c>
      <c r="J186" s="12" t="s">
        <v>1868</v>
      </c>
    </row>
    <row r="187" spans="1:11" ht="26.4" customHeight="1">
      <c r="A187" s="12" t="s">
        <v>1869</v>
      </c>
      <c r="B187" s="14" t="s">
        <v>1879</v>
      </c>
      <c r="C187" s="12" t="s">
        <v>59</v>
      </c>
      <c r="D187" s="12" t="s">
        <v>1881</v>
      </c>
      <c r="E187" s="12">
        <v>50</v>
      </c>
      <c r="F187" s="16">
        <v>2500</v>
      </c>
      <c r="G187" s="12">
        <v>340</v>
      </c>
      <c r="H187" s="16">
        <v>3000</v>
      </c>
      <c r="I187" s="12" t="s">
        <v>210</v>
      </c>
      <c r="J187" s="12" t="s">
        <v>1870</v>
      </c>
    </row>
    <row r="188" spans="1:11" ht="26.4" customHeight="1">
      <c r="A188" s="12" t="s">
        <v>1871</v>
      </c>
      <c r="B188" s="14" t="s">
        <v>1848</v>
      </c>
      <c r="C188" s="12" t="s">
        <v>1880</v>
      </c>
      <c r="D188" s="12"/>
      <c r="E188" s="12">
        <v>48</v>
      </c>
      <c r="F188" s="16">
        <v>5000</v>
      </c>
      <c r="G188" s="12">
        <v>300</v>
      </c>
      <c r="H188" s="12" t="s">
        <v>1548</v>
      </c>
      <c r="I188" s="12" t="s">
        <v>210</v>
      </c>
      <c r="J188" s="12" t="s">
        <v>1872</v>
      </c>
    </row>
    <row r="189" spans="1:11" ht="26.4" customHeight="1">
      <c r="A189" s="12" t="s">
        <v>1873</v>
      </c>
      <c r="B189" s="14" t="s">
        <v>1848</v>
      </c>
      <c r="C189" s="12" t="s">
        <v>1640</v>
      </c>
      <c r="D189" s="12"/>
      <c r="E189" s="12">
        <v>47</v>
      </c>
      <c r="F189" s="16">
        <v>3000</v>
      </c>
      <c r="G189" s="12">
        <v>235</v>
      </c>
      <c r="H189" s="12" t="s">
        <v>1548</v>
      </c>
      <c r="I189" s="12">
        <v>30</v>
      </c>
      <c r="J189" s="12" t="s">
        <v>1874</v>
      </c>
    </row>
    <row r="190" spans="1:11" ht="26.4" customHeight="1">
      <c r="A190" s="12" t="s">
        <v>1875</v>
      </c>
      <c r="B190" s="14" t="s">
        <v>1848</v>
      </c>
      <c r="C190" s="12" t="s">
        <v>584</v>
      </c>
      <c r="D190" s="12"/>
      <c r="E190" s="12">
        <v>45</v>
      </c>
      <c r="F190" s="16">
        <v>4500</v>
      </c>
      <c r="G190" s="12">
        <v>230</v>
      </c>
      <c r="H190" s="12" t="s">
        <v>1548</v>
      </c>
      <c r="I190" s="12" t="s">
        <v>210</v>
      </c>
      <c r="J190" s="12"/>
    </row>
    <row r="191" spans="1:11" ht="26.4" customHeight="1">
      <c r="A191" s="12" t="s">
        <v>1876</v>
      </c>
      <c r="B191" s="14" t="s">
        <v>1848</v>
      </c>
      <c r="C191" s="12" t="s">
        <v>59</v>
      </c>
      <c r="D191" s="12" t="s">
        <v>1877</v>
      </c>
      <c r="E191" s="12">
        <v>60</v>
      </c>
      <c r="F191" s="16">
        <v>7000</v>
      </c>
      <c r="G191" s="12">
        <v>450</v>
      </c>
      <c r="H191" s="16">
        <v>7000</v>
      </c>
      <c r="I191" s="12">
        <v>60</v>
      </c>
      <c r="J191" s="12" t="s">
        <v>1878</v>
      </c>
    </row>
    <row r="193" spans="1:10" ht="26.4" customHeight="1">
      <c r="A193" s="13" t="s">
        <v>0</v>
      </c>
      <c r="B193" s="13" t="s">
        <v>925</v>
      </c>
      <c r="C193" s="13" t="s">
        <v>2</v>
      </c>
      <c r="D193" s="13" t="s">
        <v>1453</v>
      </c>
      <c r="E193" s="13" t="s">
        <v>1910</v>
      </c>
      <c r="F193" s="13" t="s">
        <v>919</v>
      </c>
      <c r="G193" s="13" t="s">
        <v>1551</v>
      </c>
      <c r="H193" s="13" t="s">
        <v>921</v>
      </c>
      <c r="I193" s="13" t="s">
        <v>922</v>
      </c>
      <c r="J193" s="13" t="s">
        <v>8</v>
      </c>
    </row>
    <row r="194" spans="1:10" ht="26.4" customHeight="1">
      <c r="A194" s="12" t="s">
        <v>1882</v>
      </c>
      <c r="B194" s="14" t="str">
        <f>HYPERLINK("https://map.naver.com/p/search/%EA%B2%BD%EA%B8%B0%EB%8F%84%20%EC%8B%9C%ED%9D%A5%EC%8B%9C%20%EC%A0%95%EC%99%95%EB%8F%99%201727-2","지도")</f>
        <v>지도</v>
      </c>
      <c r="C194" s="12" t="s">
        <v>59</v>
      </c>
      <c r="D194" s="12" t="s">
        <v>1883</v>
      </c>
      <c r="E194" s="12">
        <v>46</v>
      </c>
      <c r="F194" s="16">
        <v>5000</v>
      </c>
      <c r="G194" s="12">
        <v>260</v>
      </c>
      <c r="H194" s="16">
        <v>3000</v>
      </c>
      <c r="I194" s="12" t="s">
        <v>1884</v>
      </c>
      <c r="J194" s="12" t="s">
        <v>1906</v>
      </c>
    </row>
    <row r="195" spans="1:10" ht="26.4" customHeight="1">
      <c r="A195" s="12" t="s">
        <v>1885</v>
      </c>
      <c r="B195" s="14" t="str">
        <f>HYPERLINK("https://map.naver.com/p/search/%EC%84%9C%EC%9A%B8%ED%8A%B9%EB%B3%84%EC%8B%9C%20%EA%B4%80%EC%95%85%EA%B5%AC%20%EB%B4%89%EC%B2%9C%EB%8F%99%20945-1","지도")</f>
        <v>지도</v>
      </c>
      <c r="C195" s="12" t="s">
        <v>59</v>
      </c>
      <c r="D195" s="12" t="s">
        <v>1886</v>
      </c>
      <c r="E195" s="12">
        <v>22</v>
      </c>
      <c r="F195" s="16">
        <v>3000</v>
      </c>
      <c r="G195" s="12">
        <v>220</v>
      </c>
      <c r="H195" s="12" t="s">
        <v>1909</v>
      </c>
      <c r="I195" s="12" t="s">
        <v>1887</v>
      </c>
      <c r="J195" s="12" t="s">
        <v>1904</v>
      </c>
    </row>
    <row r="196" spans="1:10" ht="26.4" customHeight="1">
      <c r="A196" s="12" t="s">
        <v>1888</v>
      </c>
      <c r="B196" s="14" t="str">
        <f>HYPERLINK("https://map.naver.com/p/search/%EC%84%9C%EC%9A%B8%20%EA%B8%88%EC%B2%9C%EA%B5%AC%20%EB%8F%85%EC%82%B0%EB%8F%99%20951-4","지도")</f>
        <v>지도</v>
      </c>
      <c r="C196" s="12" t="s">
        <v>1768</v>
      </c>
      <c r="D196" s="12" t="s">
        <v>1548</v>
      </c>
      <c r="E196" s="12">
        <v>54</v>
      </c>
      <c r="F196" s="12" t="s">
        <v>1908</v>
      </c>
      <c r="G196" s="16">
        <v>1200</v>
      </c>
      <c r="H196" s="12" t="s">
        <v>1548</v>
      </c>
      <c r="I196" s="12" t="s">
        <v>1889</v>
      </c>
      <c r="J196" s="12" t="s">
        <v>1890</v>
      </c>
    </row>
    <row r="197" spans="1:10" ht="26.4" customHeight="1">
      <c r="A197" s="12" t="s">
        <v>1891</v>
      </c>
      <c r="B197" s="14" t="str">
        <f>HYPERLINK("https://map.naver.com/p/search/%EA%B2%BD%EA%B8%B0%20%EC%8B%9C%ED%9D%A5%EC%8B%9C%20%EC%A0%95%EC%99%95%EB%8F%99%201855-15","지도")</f>
        <v>지도</v>
      </c>
      <c r="C197" s="12" t="s">
        <v>59</v>
      </c>
      <c r="D197" s="12" t="s">
        <v>1892</v>
      </c>
      <c r="E197" s="12">
        <v>100</v>
      </c>
      <c r="F197" s="12" t="s">
        <v>1893</v>
      </c>
      <c r="G197" s="12">
        <v>650</v>
      </c>
      <c r="H197" s="12" t="s">
        <v>1893</v>
      </c>
      <c r="I197" s="12" t="s">
        <v>930</v>
      </c>
      <c r="J197" s="12" t="s">
        <v>1894</v>
      </c>
    </row>
    <row r="198" spans="1:10" ht="26.4" customHeight="1">
      <c r="A198" s="12" t="s">
        <v>1895</v>
      </c>
      <c r="B198" s="14" t="str">
        <f>HYPERLINK("https://map.naver.com/p/search/%EA%B2%BD%EA%B8%B0%EB%8F%84%20%EC%95%88%EC%82%B0%EC%8B%9C%20%EB%8B%A8%EC%9B%90%EA%B5%AC%20%EC%8B%A0%EA%B8%B8%EB%8F%99%201633","지도")</f>
        <v>지도</v>
      </c>
      <c r="C198" s="12" t="s">
        <v>1907</v>
      </c>
      <c r="D198" s="12" t="s">
        <v>1548</v>
      </c>
      <c r="E198" s="12">
        <v>25</v>
      </c>
      <c r="F198" s="16">
        <v>4000</v>
      </c>
      <c r="G198" s="12">
        <v>260</v>
      </c>
      <c r="H198" s="12" t="s">
        <v>1548</v>
      </c>
      <c r="I198" s="12" t="s">
        <v>1896</v>
      </c>
      <c r="J198" s="12" t="s">
        <v>1905</v>
      </c>
    </row>
    <row r="199" spans="1:10" ht="26.4" customHeight="1">
      <c r="A199" s="12" t="s">
        <v>1897</v>
      </c>
      <c r="B199" s="14" t="str">
        <f>HYPERLINK("https://map.naver.com/p/search/%EC%84%9C%EC%9A%B8%20%EA%B4%80%EC%95%85%EA%B5%AC%20%EB%B4%89%EC%B2%9C%EB%8F%99%201674-10","지도")</f>
        <v>지도</v>
      </c>
      <c r="C199" s="12" t="s">
        <v>59</v>
      </c>
      <c r="D199" s="12" t="s">
        <v>1898</v>
      </c>
      <c r="E199" s="12">
        <v>53</v>
      </c>
      <c r="F199" s="12" t="s">
        <v>1908</v>
      </c>
      <c r="G199" s="12">
        <v>850</v>
      </c>
      <c r="H199" s="12" t="s">
        <v>1548</v>
      </c>
      <c r="I199" s="12" t="s">
        <v>1899</v>
      </c>
      <c r="J199" s="12" t="s">
        <v>1900</v>
      </c>
    </row>
    <row r="200" spans="1:10" ht="26.4" customHeight="1">
      <c r="A200" s="12" t="s">
        <v>1901</v>
      </c>
      <c r="B200" s="14" t="str">
        <f>HYPERLINK("https://map.naver.com/p/search/%EC%84%9C%EC%9A%B8%20%EA%B4%91%EC%A7%84%EA%B5%AC%20%EC%9E%90%EC%96%91%EB%8F%99%20794","지도")</f>
        <v>지도</v>
      </c>
      <c r="C200" s="12" t="s">
        <v>59</v>
      </c>
      <c r="D200" s="12" t="s">
        <v>1902</v>
      </c>
      <c r="E200" s="12" t="s">
        <v>1911</v>
      </c>
      <c r="F200" s="16">
        <v>5000</v>
      </c>
      <c r="G200" s="12">
        <v>400</v>
      </c>
      <c r="H200" s="16">
        <v>6000</v>
      </c>
      <c r="I200" s="12" t="s">
        <v>1889</v>
      </c>
      <c r="J200" s="12" t="s">
        <v>1903</v>
      </c>
    </row>
    <row r="202" spans="1:10" ht="26.4" customHeight="1">
      <c r="A202" s="13" t="s">
        <v>0</v>
      </c>
      <c r="B202" s="13" t="s">
        <v>925</v>
      </c>
      <c r="C202" s="13" t="s">
        <v>1549</v>
      </c>
      <c r="D202" s="13" t="s">
        <v>1453</v>
      </c>
      <c r="E202" s="13" t="s">
        <v>3</v>
      </c>
      <c r="F202" s="13" t="s">
        <v>919</v>
      </c>
      <c r="G202" s="13" t="s">
        <v>1551</v>
      </c>
      <c r="H202" s="13" t="s">
        <v>921</v>
      </c>
      <c r="I202" s="13" t="s">
        <v>922</v>
      </c>
      <c r="J202" s="13" t="s">
        <v>8</v>
      </c>
    </row>
    <row r="203" spans="1:10" ht="26.4" customHeight="1">
      <c r="A203" s="12" t="s">
        <v>1960</v>
      </c>
      <c r="B203" s="14" t="s">
        <v>925</v>
      </c>
      <c r="C203" s="12" t="s">
        <v>59</v>
      </c>
      <c r="D203" s="12" t="s">
        <v>1912</v>
      </c>
      <c r="E203" s="12">
        <v>44.6</v>
      </c>
      <c r="F203" s="16">
        <v>20000</v>
      </c>
      <c r="G203" s="16">
        <v>1200</v>
      </c>
      <c r="H203" s="12" t="s">
        <v>210</v>
      </c>
      <c r="I203" s="12">
        <v>75</v>
      </c>
      <c r="J203" s="12" t="s">
        <v>1913</v>
      </c>
    </row>
    <row r="204" spans="1:10" ht="26.4" customHeight="1">
      <c r="A204" s="12" t="s">
        <v>1567</v>
      </c>
      <c r="B204" s="14" t="s">
        <v>925</v>
      </c>
      <c r="C204" s="12" t="s">
        <v>59</v>
      </c>
      <c r="D204" s="12" t="s">
        <v>1914</v>
      </c>
      <c r="E204" s="12">
        <v>28</v>
      </c>
      <c r="F204" s="16">
        <v>3000</v>
      </c>
      <c r="G204" s="12">
        <v>230</v>
      </c>
      <c r="H204" s="16">
        <v>5000</v>
      </c>
      <c r="I204" s="12" t="s">
        <v>210</v>
      </c>
      <c r="J204" s="12" t="s">
        <v>1915</v>
      </c>
    </row>
    <row r="205" spans="1:10" ht="26.4" customHeight="1">
      <c r="A205" s="12" t="s">
        <v>1916</v>
      </c>
      <c r="B205" s="14" t="s">
        <v>925</v>
      </c>
      <c r="C205" s="12" t="s">
        <v>60</v>
      </c>
      <c r="D205" s="12" t="s">
        <v>1917</v>
      </c>
      <c r="E205" s="12">
        <v>41</v>
      </c>
      <c r="F205" s="16">
        <v>6000</v>
      </c>
      <c r="G205" s="12">
        <v>300</v>
      </c>
      <c r="H205" s="16">
        <v>4000</v>
      </c>
      <c r="I205" s="12" t="s">
        <v>210</v>
      </c>
      <c r="J205" s="12" t="s">
        <v>1822</v>
      </c>
    </row>
    <row r="206" spans="1:10" ht="26.4" customHeight="1">
      <c r="A206" s="12" t="s">
        <v>1916</v>
      </c>
      <c r="B206" s="14" t="s">
        <v>925</v>
      </c>
      <c r="C206" s="12" t="s">
        <v>60</v>
      </c>
      <c r="D206" s="12" t="s">
        <v>1918</v>
      </c>
      <c r="E206" s="12">
        <v>42</v>
      </c>
      <c r="F206" s="16">
        <v>7000</v>
      </c>
      <c r="G206" s="12">
        <v>300</v>
      </c>
      <c r="H206" s="16">
        <v>5000</v>
      </c>
      <c r="I206" s="12" t="s">
        <v>210</v>
      </c>
      <c r="J206" s="12" t="s">
        <v>1919</v>
      </c>
    </row>
    <row r="207" spans="1:10" ht="26.4" customHeight="1">
      <c r="A207" s="12" t="s">
        <v>1920</v>
      </c>
      <c r="B207" s="14" t="s">
        <v>925</v>
      </c>
      <c r="C207" s="12" t="s">
        <v>1907</v>
      </c>
      <c r="D207" s="12" t="s">
        <v>1548</v>
      </c>
      <c r="E207" s="12">
        <v>33</v>
      </c>
      <c r="F207" s="16">
        <v>5000</v>
      </c>
      <c r="G207" s="12">
        <v>400</v>
      </c>
      <c r="H207" s="12" t="s">
        <v>210</v>
      </c>
      <c r="I207" s="12">
        <v>30</v>
      </c>
      <c r="J207" s="12" t="s">
        <v>1921</v>
      </c>
    </row>
    <row r="208" spans="1:10" ht="26.4" customHeight="1">
      <c r="A208" s="12" t="s">
        <v>1922</v>
      </c>
      <c r="B208" s="14" t="s">
        <v>925</v>
      </c>
      <c r="C208" s="12" t="s">
        <v>1961</v>
      </c>
      <c r="D208" s="12" t="s">
        <v>1923</v>
      </c>
      <c r="E208" s="12">
        <v>45</v>
      </c>
      <c r="F208" s="16">
        <v>8000</v>
      </c>
      <c r="G208" s="12">
        <v>380</v>
      </c>
      <c r="H208" s="16">
        <v>6000</v>
      </c>
      <c r="I208" s="12" t="s">
        <v>210</v>
      </c>
      <c r="J208" s="12" t="s">
        <v>1924</v>
      </c>
    </row>
    <row r="209" spans="1:10" ht="26.4" customHeight="1">
      <c r="A209" s="12" t="s">
        <v>1925</v>
      </c>
      <c r="B209" s="14" t="s">
        <v>925</v>
      </c>
      <c r="C209" s="12" t="s">
        <v>1907</v>
      </c>
      <c r="D209" s="12" t="s">
        <v>1548</v>
      </c>
      <c r="E209" s="12">
        <v>17</v>
      </c>
      <c r="F209" s="16">
        <v>3000</v>
      </c>
      <c r="G209" s="12">
        <v>230</v>
      </c>
      <c r="H209" s="12" t="s">
        <v>210</v>
      </c>
      <c r="I209" s="12">
        <v>30</v>
      </c>
      <c r="J209" s="12" t="s">
        <v>1926</v>
      </c>
    </row>
    <row r="210" spans="1:10" ht="26.4" customHeight="1">
      <c r="A210" s="12" t="s">
        <v>1927</v>
      </c>
      <c r="B210" s="14" t="s">
        <v>925</v>
      </c>
      <c r="C210" s="12" t="s">
        <v>1907</v>
      </c>
      <c r="D210" s="12" t="s">
        <v>1548</v>
      </c>
      <c r="E210" s="12">
        <v>28</v>
      </c>
      <c r="F210" s="16">
        <v>10000</v>
      </c>
      <c r="G210" s="12">
        <v>650</v>
      </c>
      <c r="H210" s="12" t="s">
        <v>210</v>
      </c>
      <c r="I210" s="12" t="s">
        <v>210</v>
      </c>
      <c r="J210" s="12" t="s">
        <v>1928</v>
      </c>
    </row>
    <row r="211" spans="1:10" ht="26.4" customHeight="1">
      <c r="A211" s="12" t="s">
        <v>1929</v>
      </c>
      <c r="B211" s="14" t="s">
        <v>925</v>
      </c>
      <c r="C211" s="12" t="s">
        <v>1907</v>
      </c>
      <c r="D211" s="12" t="s">
        <v>1548</v>
      </c>
      <c r="E211" s="12">
        <v>17</v>
      </c>
      <c r="F211" s="16">
        <v>2000</v>
      </c>
      <c r="G211" s="12">
        <v>170</v>
      </c>
      <c r="H211" s="12" t="s">
        <v>210</v>
      </c>
      <c r="I211" s="12" t="s">
        <v>210</v>
      </c>
      <c r="J211" s="12" t="s">
        <v>1930</v>
      </c>
    </row>
    <row r="212" spans="1:10" ht="26.4" customHeight="1">
      <c r="A212" s="12" t="s">
        <v>1931</v>
      </c>
      <c r="B212" s="14" t="s">
        <v>925</v>
      </c>
      <c r="C212" s="12" t="s">
        <v>59</v>
      </c>
      <c r="D212" s="12" t="s">
        <v>1932</v>
      </c>
      <c r="E212" s="12">
        <v>28</v>
      </c>
      <c r="F212" s="16">
        <v>4000</v>
      </c>
      <c r="G212" s="12">
        <v>400</v>
      </c>
      <c r="H212" s="12" t="s">
        <v>210</v>
      </c>
      <c r="I212" s="12" t="s">
        <v>210</v>
      </c>
      <c r="J212" s="12"/>
    </row>
    <row r="213" spans="1:10" ht="26.4" customHeight="1">
      <c r="A213" s="12" t="s">
        <v>1933</v>
      </c>
      <c r="B213" s="14" t="s">
        <v>925</v>
      </c>
      <c r="C213" s="12" t="s">
        <v>59</v>
      </c>
      <c r="D213" s="12" t="s">
        <v>1934</v>
      </c>
      <c r="E213" s="12">
        <v>33</v>
      </c>
      <c r="F213" s="16">
        <v>30000</v>
      </c>
      <c r="G213" s="12">
        <v>800</v>
      </c>
      <c r="H213" s="12" t="s">
        <v>210</v>
      </c>
      <c r="I213" s="12">
        <v>50</v>
      </c>
      <c r="J213" s="12" t="s">
        <v>1935</v>
      </c>
    </row>
    <row r="214" spans="1:10" ht="26.4" customHeight="1">
      <c r="A214" s="12" t="s">
        <v>1936</v>
      </c>
      <c r="B214" s="14" t="s">
        <v>925</v>
      </c>
      <c r="C214" s="12" t="s">
        <v>59</v>
      </c>
      <c r="D214" s="12" t="s">
        <v>1937</v>
      </c>
      <c r="E214" s="12">
        <v>33</v>
      </c>
      <c r="F214" s="16">
        <v>11000</v>
      </c>
      <c r="G214" s="12">
        <v>660</v>
      </c>
      <c r="H214" s="16">
        <v>10000</v>
      </c>
      <c r="I214" s="12" t="s">
        <v>210</v>
      </c>
      <c r="J214" s="12" t="s">
        <v>1938</v>
      </c>
    </row>
    <row r="215" spans="1:10" ht="26.4" customHeight="1">
      <c r="A215" s="12" t="s">
        <v>1939</v>
      </c>
      <c r="B215" s="14" t="s">
        <v>925</v>
      </c>
      <c r="C215" s="12" t="s">
        <v>59</v>
      </c>
      <c r="D215" s="12" t="s">
        <v>1940</v>
      </c>
      <c r="E215" s="12">
        <v>26</v>
      </c>
      <c r="F215" s="16">
        <v>8000</v>
      </c>
      <c r="G215" s="12">
        <v>530</v>
      </c>
      <c r="H215" s="16">
        <v>8000</v>
      </c>
      <c r="I215" s="12" t="s">
        <v>210</v>
      </c>
      <c r="J215" s="12" t="s">
        <v>1941</v>
      </c>
    </row>
    <row r="216" spans="1:10" ht="26.4" customHeight="1">
      <c r="A216" s="12" t="s">
        <v>1942</v>
      </c>
      <c r="B216" s="14" t="s">
        <v>960</v>
      </c>
      <c r="C216" s="12" t="s">
        <v>1768</v>
      </c>
      <c r="D216" s="12" t="s">
        <v>1548</v>
      </c>
      <c r="E216" s="12">
        <v>13.5</v>
      </c>
      <c r="F216" s="16">
        <v>5000</v>
      </c>
      <c r="G216" s="12">
        <v>230</v>
      </c>
      <c r="H216" s="12" t="s">
        <v>210</v>
      </c>
      <c r="I216" s="12" t="s">
        <v>210</v>
      </c>
      <c r="J216" s="12" t="s">
        <v>1943</v>
      </c>
    </row>
    <row r="217" spans="1:10" ht="26.4" customHeight="1">
      <c r="A217" s="12" t="s">
        <v>1944</v>
      </c>
      <c r="B217" s="14" t="s">
        <v>925</v>
      </c>
      <c r="C217" s="12" t="s">
        <v>1768</v>
      </c>
      <c r="D217" s="12" t="s">
        <v>1548</v>
      </c>
      <c r="E217" s="12">
        <v>18</v>
      </c>
      <c r="F217" s="16">
        <v>5000</v>
      </c>
      <c r="G217" s="12">
        <v>260</v>
      </c>
      <c r="H217" s="12" t="s">
        <v>210</v>
      </c>
      <c r="I217" s="12">
        <v>24</v>
      </c>
      <c r="J217" s="12" t="s">
        <v>1945</v>
      </c>
    </row>
    <row r="218" spans="1:10" ht="26.4" customHeight="1">
      <c r="A218" s="12" t="s">
        <v>1946</v>
      </c>
      <c r="B218" s="14" t="s">
        <v>925</v>
      </c>
      <c r="C218" s="12" t="s">
        <v>59</v>
      </c>
      <c r="D218" s="12" t="s">
        <v>1947</v>
      </c>
      <c r="E218" s="12">
        <v>25</v>
      </c>
      <c r="F218" s="16">
        <v>5000</v>
      </c>
      <c r="G218" s="12">
        <v>320</v>
      </c>
      <c r="H218" s="12" t="s">
        <v>210</v>
      </c>
      <c r="I218" s="12" t="s">
        <v>210</v>
      </c>
      <c r="J218" s="12" t="s">
        <v>1948</v>
      </c>
    </row>
    <row r="219" spans="1:10" ht="26.4" customHeight="1">
      <c r="A219" s="12" t="s">
        <v>1946</v>
      </c>
      <c r="B219" s="14" t="s">
        <v>925</v>
      </c>
      <c r="C219" s="12" t="s">
        <v>59</v>
      </c>
      <c r="D219" s="12" t="s">
        <v>1949</v>
      </c>
      <c r="E219" s="12">
        <v>28.36</v>
      </c>
      <c r="F219" s="16">
        <v>5000</v>
      </c>
      <c r="G219" s="12">
        <v>400</v>
      </c>
      <c r="H219" s="12" t="s">
        <v>210</v>
      </c>
      <c r="I219" s="12" t="s">
        <v>210</v>
      </c>
      <c r="J219" s="12" t="s">
        <v>1948</v>
      </c>
    </row>
    <row r="220" spans="1:10" ht="26.4" customHeight="1">
      <c r="A220" s="12" t="s">
        <v>1950</v>
      </c>
      <c r="B220" s="14" t="s">
        <v>925</v>
      </c>
      <c r="C220" s="12" t="s">
        <v>59</v>
      </c>
      <c r="D220" s="12" t="s">
        <v>1622</v>
      </c>
      <c r="E220" s="12">
        <v>30</v>
      </c>
      <c r="F220" s="16">
        <v>10000</v>
      </c>
      <c r="G220" s="12">
        <v>400</v>
      </c>
      <c r="H220" s="16">
        <v>10000</v>
      </c>
      <c r="I220" s="12" t="s">
        <v>210</v>
      </c>
      <c r="J220" s="12" t="s">
        <v>2017</v>
      </c>
    </row>
    <row r="221" spans="1:10" ht="26.4" customHeight="1">
      <c r="A221" s="12" t="s">
        <v>1951</v>
      </c>
      <c r="B221" s="14" t="s">
        <v>925</v>
      </c>
      <c r="C221" s="12" t="s">
        <v>59</v>
      </c>
      <c r="D221" s="12" t="s">
        <v>1952</v>
      </c>
      <c r="E221" s="12">
        <v>27</v>
      </c>
      <c r="F221" s="16">
        <v>8000</v>
      </c>
      <c r="G221" s="12">
        <v>425</v>
      </c>
      <c r="H221" s="16">
        <v>10000</v>
      </c>
      <c r="I221" s="12" t="s">
        <v>210</v>
      </c>
      <c r="J221" s="12"/>
    </row>
    <row r="222" spans="1:10" ht="26.4" customHeight="1">
      <c r="A222" s="12" t="s">
        <v>1953</v>
      </c>
      <c r="B222" s="14" t="s">
        <v>925</v>
      </c>
      <c r="C222" s="12" t="s">
        <v>59</v>
      </c>
      <c r="D222" s="12" t="s">
        <v>1821</v>
      </c>
      <c r="E222" s="12">
        <v>28</v>
      </c>
      <c r="F222" s="16">
        <v>5000</v>
      </c>
      <c r="G222" s="12">
        <v>450</v>
      </c>
      <c r="H222" s="16">
        <v>15000</v>
      </c>
      <c r="I222" s="12" t="s">
        <v>210</v>
      </c>
      <c r="J222" s="12"/>
    </row>
    <row r="223" spans="1:10" ht="26.4" customHeight="1">
      <c r="A223" s="12" t="s">
        <v>1954</v>
      </c>
      <c r="B223" s="14" t="s">
        <v>925</v>
      </c>
      <c r="C223" s="12" t="s">
        <v>59</v>
      </c>
      <c r="D223" s="12" t="s">
        <v>1955</v>
      </c>
      <c r="E223" s="12">
        <v>35</v>
      </c>
      <c r="F223" s="16">
        <v>5000</v>
      </c>
      <c r="G223" s="12">
        <v>350</v>
      </c>
      <c r="H223" s="12" t="s">
        <v>210</v>
      </c>
      <c r="I223" s="12" t="s">
        <v>210</v>
      </c>
      <c r="J223" s="12" t="s">
        <v>1956</v>
      </c>
    </row>
    <row r="224" spans="1:10" ht="26.4" customHeight="1">
      <c r="A224" s="12" t="s">
        <v>1957</v>
      </c>
      <c r="B224" s="14" t="s">
        <v>960</v>
      </c>
      <c r="C224" s="12" t="s">
        <v>59</v>
      </c>
      <c r="D224" s="12" t="s">
        <v>1958</v>
      </c>
      <c r="E224" s="12">
        <v>41</v>
      </c>
      <c r="F224" s="16">
        <v>10000</v>
      </c>
      <c r="G224" s="12">
        <v>700</v>
      </c>
      <c r="H224" s="16">
        <v>7000</v>
      </c>
      <c r="I224" s="12">
        <v>100</v>
      </c>
      <c r="J224" s="12" t="s">
        <v>1959</v>
      </c>
    </row>
    <row r="226" spans="1:10" ht="26.4" customHeight="1">
      <c r="A226" s="13" t="s">
        <v>0</v>
      </c>
      <c r="B226" s="13" t="s">
        <v>925</v>
      </c>
      <c r="C226" s="13" t="s">
        <v>1549</v>
      </c>
      <c r="D226" s="13" t="s">
        <v>1453</v>
      </c>
      <c r="E226" s="13" t="s">
        <v>3</v>
      </c>
      <c r="F226" s="13" t="s">
        <v>919</v>
      </c>
      <c r="G226" s="13" t="s">
        <v>1551</v>
      </c>
      <c r="H226" s="13" t="s">
        <v>921</v>
      </c>
      <c r="I226" s="13" t="s">
        <v>922</v>
      </c>
      <c r="J226" s="13" t="s">
        <v>8</v>
      </c>
    </row>
    <row r="227" spans="1:10" ht="26.4" customHeight="1">
      <c r="A227" s="12" t="s">
        <v>1962</v>
      </c>
      <c r="B227" s="14" t="s">
        <v>960</v>
      </c>
      <c r="C227" s="13" t="s">
        <v>563</v>
      </c>
      <c r="D227" s="12"/>
      <c r="E227" s="12">
        <v>51</v>
      </c>
      <c r="F227" s="16">
        <v>10000</v>
      </c>
      <c r="G227" s="12">
        <v>600</v>
      </c>
      <c r="H227" s="12" t="s">
        <v>210</v>
      </c>
      <c r="I227" s="12" t="s">
        <v>210</v>
      </c>
      <c r="J227" s="12" t="s">
        <v>1963</v>
      </c>
    </row>
    <row r="228" spans="1:10" ht="26.4" customHeight="1">
      <c r="A228" s="12" t="s">
        <v>1962</v>
      </c>
      <c r="B228" s="14" t="s">
        <v>960</v>
      </c>
      <c r="C228" s="13" t="s">
        <v>563</v>
      </c>
      <c r="D228" s="12"/>
      <c r="E228" s="12">
        <v>19.96</v>
      </c>
      <c r="F228" s="16">
        <v>3000</v>
      </c>
      <c r="G228" s="12">
        <v>150</v>
      </c>
      <c r="H228" s="12" t="s">
        <v>210</v>
      </c>
      <c r="I228" s="12">
        <v>20</v>
      </c>
      <c r="J228" s="12" t="s">
        <v>1964</v>
      </c>
    </row>
    <row r="229" spans="1:10" ht="26.4" customHeight="1">
      <c r="A229" s="12" t="s">
        <v>1965</v>
      </c>
      <c r="B229" s="14" t="s">
        <v>960</v>
      </c>
      <c r="C229" s="12" t="s">
        <v>59</v>
      </c>
      <c r="D229" s="12" t="s">
        <v>1966</v>
      </c>
      <c r="E229" s="12">
        <v>42.32</v>
      </c>
      <c r="F229" s="16">
        <v>3000</v>
      </c>
      <c r="G229" s="12">
        <v>300</v>
      </c>
      <c r="H229" s="12">
        <v>500</v>
      </c>
      <c r="I229" s="12" t="s">
        <v>210</v>
      </c>
      <c r="J229" s="12" t="s">
        <v>1967</v>
      </c>
    </row>
    <row r="230" spans="1:10" ht="26.4" customHeight="1">
      <c r="A230" s="12" t="s">
        <v>1968</v>
      </c>
      <c r="B230" s="14" t="s">
        <v>925</v>
      </c>
      <c r="C230" s="13" t="s">
        <v>563</v>
      </c>
      <c r="D230" s="12"/>
      <c r="E230" s="12">
        <v>50</v>
      </c>
      <c r="F230" s="16">
        <v>5000</v>
      </c>
      <c r="G230" s="12">
        <v>500</v>
      </c>
      <c r="H230" s="12" t="s">
        <v>210</v>
      </c>
      <c r="I230" s="12">
        <v>15</v>
      </c>
      <c r="J230" s="12" t="s">
        <v>1969</v>
      </c>
    </row>
    <row r="231" spans="1:10" ht="26.4" customHeight="1">
      <c r="A231" s="12" t="s">
        <v>1970</v>
      </c>
      <c r="B231" s="14" t="s">
        <v>960</v>
      </c>
      <c r="C231" s="12" t="s">
        <v>59</v>
      </c>
      <c r="D231" s="12" t="s">
        <v>1971</v>
      </c>
      <c r="E231" s="12" t="s">
        <v>1612</v>
      </c>
      <c r="F231" s="16">
        <v>15000</v>
      </c>
      <c r="G231" s="12">
        <v>700</v>
      </c>
      <c r="H231" s="16">
        <v>3000</v>
      </c>
      <c r="I231" s="12" t="s">
        <v>210</v>
      </c>
      <c r="J231" s="12" t="s">
        <v>1972</v>
      </c>
    </row>
    <row r="232" spans="1:10" ht="26.4" customHeight="1">
      <c r="A232" s="12" t="s">
        <v>1973</v>
      </c>
      <c r="B232" s="14" t="s">
        <v>960</v>
      </c>
      <c r="C232" s="12" t="s">
        <v>59</v>
      </c>
      <c r="D232" s="12" t="s">
        <v>1974</v>
      </c>
      <c r="E232" s="12" t="s">
        <v>502</v>
      </c>
      <c r="F232" s="16">
        <v>17000</v>
      </c>
      <c r="G232" s="12">
        <v>500</v>
      </c>
      <c r="H232" s="16">
        <v>15000</v>
      </c>
      <c r="I232" s="12" t="s">
        <v>210</v>
      </c>
      <c r="J232" s="12" t="s">
        <v>951</v>
      </c>
    </row>
    <row r="233" spans="1:10" ht="26.4" customHeight="1">
      <c r="A233" s="12" t="s">
        <v>1975</v>
      </c>
      <c r="B233" s="14" t="s">
        <v>925</v>
      </c>
      <c r="C233" s="12" t="s">
        <v>59</v>
      </c>
      <c r="D233" s="12" t="s">
        <v>1976</v>
      </c>
      <c r="E233" s="12">
        <v>16</v>
      </c>
      <c r="F233" s="16">
        <v>5000</v>
      </c>
      <c r="G233" s="12">
        <v>345</v>
      </c>
      <c r="H233" s="16">
        <v>3500</v>
      </c>
      <c r="I233" s="12">
        <v>20</v>
      </c>
      <c r="J233" s="12" t="s">
        <v>1977</v>
      </c>
    </row>
    <row r="234" spans="1:10" ht="26.4" customHeight="1">
      <c r="A234" s="12" t="s">
        <v>1978</v>
      </c>
      <c r="B234" s="14" t="s">
        <v>925</v>
      </c>
      <c r="C234" s="13" t="s">
        <v>563</v>
      </c>
      <c r="D234" s="12"/>
      <c r="E234" s="12" t="s">
        <v>1991</v>
      </c>
      <c r="F234" s="16">
        <v>10000</v>
      </c>
      <c r="G234" s="12">
        <v>800</v>
      </c>
      <c r="H234" s="12" t="s">
        <v>210</v>
      </c>
      <c r="I234" s="12" t="s">
        <v>210</v>
      </c>
      <c r="J234" s="12" t="s">
        <v>1979</v>
      </c>
    </row>
    <row r="235" spans="1:10" ht="26.4" customHeight="1">
      <c r="A235" s="12" t="s">
        <v>1980</v>
      </c>
      <c r="B235" s="14" t="s">
        <v>925</v>
      </c>
      <c r="C235" s="12" t="s">
        <v>59</v>
      </c>
      <c r="D235" s="12" t="s">
        <v>1981</v>
      </c>
      <c r="E235" s="12">
        <v>44</v>
      </c>
      <c r="F235" s="16">
        <v>10000</v>
      </c>
      <c r="G235" s="12">
        <v>500</v>
      </c>
      <c r="H235" s="16">
        <v>7000</v>
      </c>
      <c r="I235" s="12" t="s">
        <v>210</v>
      </c>
      <c r="J235" s="12" t="s">
        <v>1982</v>
      </c>
    </row>
    <row r="236" spans="1:10" ht="26.4" customHeight="1">
      <c r="A236" s="12" t="s">
        <v>1983</v>
      </c>
      <c r="B236" s="14" t="s">
        <v>960</v>
      </c>
      <c r="C236" s="12" t="s">
        <v>59</v>
      </c>
      <c r="D236" s="12" t="s">
        <v>1984</v>
      </c>
      <c r="E236" s="12">
        <v>30</v>
      </c>
      <c r="F236" s="16">
        <v>4000</v>
      </c>
      <c r="G236" s="12">
        <v>300</v>
      </c>
      <c r="H236" s="16">
        <v>5000</v>
      </c>
      <c r="I236" s="12" t="s">
        <v>210</v>
      </c>
      <c r="J236" s="12" t="s">
        <v>1985</v>
      </c>
    </row>
    <row r="237" spans="1:10" ht="26.4" customHeight="1">
      <c r="A237" s="12" t="s">
        <v>1986</v>
      </c>
      <c r="B237" s="14" t="s">
        <v>925</v>
      </c>
      <c r="C237" s="13" t="s">
        <v>563</v>
      </c>
      <c r="D237" s="12"/>
      <c r="E237" s="12">
        <v>25.99</v>
      </c>
      <c r="F237" s="16">
        <v>4000</v>
      </c>
      <c r="G237" s="12">
        <v>300</v>
      </c>
      <c r="H237" s="12" t="s">
        <v>210</v>
      </c>
      <c r="I237" s="12" t="s">
        <v>210</v>
      </c>
      <c r="J237" s="12" t="s">
        <v>1987</v>
      </c>
    </row>
    <row r="238" spans="1:10" ht="26.4" customHeight="1">
      <c r="A238" s="12" t="s">
        <v>1988</v>
      </c>
      <c r="B238" s="14" t="s">
        <v>960</v>
      </c>
      <c r="C238" s="12" t="s">
        <v>59</v>
      </c>
      <c r="D238" s="12" t="s">
        <v>1989</v>
      </c>
      <c r="E238" s="12">
        <v>33.58</v>
      </c>
      <c r="F238" s="16">
        <v>10000</v>
      </c>
      <c r="G238" s="12">
        <v>600</v>
      </c>
      <c r="H238" s="16">
        <v>8000</v>
      </c>
      <c r="I238" s="12" t="s">
        <v>210</v>
      </c>
      <c r="J238" s="12" t="s">
        <v>1990</v>
      </c>
    </row>
    <row r="239" spans="1:10" ht="26.4" customHeight="1">
      <c r="A239" s="12" t="s">
        <v>1992</v>
      </c>
      <c r="B239" s="14" t="s">
        <v>925</v>
      </c>
      <c r="C239" s="13" t="s">
        <v>563</v>
      </c>
      <c r="D239" s="12"/>
      <c r="E239" s="12">
        <v>40</v>
      </c>
      <c r="F239" s="16">
        <v>5000</v>
      </c>
      <c r="G239" s="12">
        <v>250</v>
      </c>
      <c r="H239" s="12" t="s">
        <v>210</v>
      </c>
      <c r="I239" s="12" t="s">
        <v>210</v>
      </c>
      <c r="J239" s="12" t="s">
        <v>1985</v>
      </c>
    </row>
    <row r="240" spans="1:10" ht="26.4" customHeight="1">
      <c r="A240" s="12" t="s">
        <v>1993</v>
      </c>
      <c r="B240" s="14" t="s">
        <v>925</v>
      </c>
      <c r="C240" s="12" t="s">
        <v>584</v>
      </c>
      <c r="D240" s="12"/>
      <c r="E240" s="12">
        <v>69</v>
      </c>
      <c r="F240" s="16">
        <v>3000</v>
      </c>
      <c r="G240" s="12">
        <v>320</v>
      </c>
      <c r="H240" s="12" t="s">
        <v>210</v>
      </c>
      <c r="I240" s="12" t="s">
        <v>210</v>
      </c>
      <c r="J240" s="12" t="s">
        <v>1994</v>
      </c>
    </row>
    <row r="241" spans="1:10" ht="26.4" customHeight="1">
      <c r="A241" s="12" t="s">
        <v>1995</v>
      </c>
      <c r="B241" s="14" t="s">
        <v>925</v>
      </c>
      <c r="C241" s="13" t="s">
        <v>563</v>
      </c>
      <c r="D241" s="12"/>
      <c r="E241" s="12">
        <v>21</v>
      </c>
      <c r="F241" s="16">
        <v>6000</v>
      </c>
      <c r="G241" s="12">
        <v>360</v>
      </c>
      <c r="H241" s="12" t="s">
        <v>210</v>
      </c>
      <c r="I241" s="12">
        <v>30</v>
      </c>
      <c r="J241" s="12" t="s">
        <v>1996</v>
      </c>
    </row>
    <row r="242" spans="1:10" ht="26.4" customHeight="1">
      <c r="A242" s="12" t="s">
        <v>1997</v>
      </c>
      <c r="B242" s="14" t="s">
        <v>925</v>
      </c>
      <c r="C242" s="12" t="s">
        <v>60</v>
      </c>
      <c r="D242" s="12" t="s">
        <v>1998</v>
      </c>
      <c r="E242" s="12">
        <v>27</v>
      </c>
      <c r="F242" s="16">
        <v>5000</v>
      </c>
      <c r="G242" s="12">
        <v>310</v>
      </c>
      <c r="H242" s="16">
        <v>8000</v>
      </c>
      <c r="I242" s="12">
        <v>30</v>
      </c>
      <c r="J242" s="12" t="s">
        <v>1999</v>
      </c>
    </row>
    <row r="243" spans="1:10" ht="26.4" customHeight="1">
      <c r="A243" s="12" t="s">
        <v>2000</v>
      </c>
      <c r="B243" s="14" t="s">
        <v>925</v>
      </c>
      <c r="C243" s="12" t="s">
        <v>59</v>
      </c>
      <c r="D243" s="12" t="s">
        <v>2001</v>
      </c>
      <c r="E243" s="12">
        <v>20</v>
      </c>
      <c r="F243" s="16">
        <v>5000</v>
      </c>
      <c r="G243" s="12">
        <v>320</v>
      </c>
      <c r="H243" s="16">
        <v>6000</v>
      </c>
      <c r="I243" s="12">
        <v>35</v>
      </c>
      <c r="J243" s="12" t="s">
        <v>2002</v>
      </c>
    </row>
    <row r="244" spans="1:10" ht="26.4" customHeight="1">
      <c r="A244" s="12" t="s">
        <v>2003</v>
      </c>
      <c r="B244" s="14" t="s">
        <v>960</v>
      </c>
      <c r="C244" s="12" t="s">
        <v>1768</v>
      </c>
      <c r="D244" s="12"/>
      <c r="E244" s="12">
        <v>96</v>
      </c>
      <c r="F244" s="16">
        <v>12000</v>
      </c>
      <c r="G244" s="12">
        <v>800</v>
      </c>
      <c r="H244" s="16" t="s">
        <v>1548</v>
      </c>
      <c r="I244" s="12" t="s">
        <v>210</v>
      </c>
      <c r="J244" s="12" t="s">
        <v>2004</v>
      </c>
    </row>
    <row r="245" spans="1:10" ht="26.4" customHeight="1">
      <c r="A245" s="12" t="s">
        <v>2005</v>
      </c>
      <c r="B245" s="14" t="s">
        <v>925</v>
      </c>
      <c r="C245" s="13" t="s">
        <v>563</v>
      </c>
      <c r="D245" s="12"/>
      <c r="E245" s="12">
        <v>16.63</v>
      </c>
      <c r="F245" s="16">
        <v>3000</v>
      </c>
      <c r="G245" s="12">
        <v>250</v>
      </c>
      <c r="H245" s="12" t="s">
        <v>1548</v>
      </c>
      <c r="I245" s="12">
        <v>15</v>
      </c>
      <c r="J245" s="12" t="s">
        <v>2006</v>
      </c>
    </row>
    <row r="246" spans="1:10" ht="26.4" customHeight="1">
      <c r="A246" s="12" t="s">
        <v>2007</v>
      </c>
      <c r="B246" s="14" t="s">
        <v>960</v>
      </c>
      <c r="C246" s="12" t="s">
        <v>59</v>
      </c>
      <c r="D246" s="12" t="s">
        <v>2021</v>
      </c>
      <c r="E246" s="12">
        <v>35.85</v>
      </c>
      <c r="F246" s="16">
        <v>2000</v>
      </c>
      <c r="G246" s="12">
        <v>154</v>
      </c>
      <c r="H246" s="16">
        <v>5000</v>
      </c>
      <c r="I246" s="12" t="s">
        <v>210</v>
      </c>
      <c r="J246" s="12" t="s">
        <v>2008</v>
      </c>
    </row>
    <row r="247" spans="1:10" ht="26.4" customHeight="1">
      <c r="A247" s="12" t="s">
        <v>2009</v>
      </c>
      <c r="B247" s="14" t="s">
        <v>925</v>
      </c>
      <c r="C247" s="13" t="s">
        <v>563</v>
      </c>
      <c r="D247" s="12"/>
      <c r="E247" s="12">
        <v>21</v>
      </c>
      <c r="F247" s="16">
        <v>1500</v>
      </c>
      <c r="G247" s="12">
        <v>130</v>
      </c>
      <c r="H247" s="12" t="s">
        <v>210</v>
      </c>
      <c r="I247" s="12" t="s">
        <v>210</v>
      </c>
      <c r="J247" s="12" t="s">
        <v>2006</v>
      </c>
    </row>
    <row r="248" spans="1:10" ht="26.4" customHeight="1">
      <c r="A248" s="12" t="s">
        <v>2009</v>
      </c>
      <c r="B248" s="14" t="s">
        <v>960</v>
      </c>
      <c r="C248" s="12" t="s">
        <v>59</v>
      </c>
      <c r="D248" s="12" t="s">
        <v>2020</v>
      </c>
      <c r="E248" s="12">
        <v>27</v>
      </c>
      <c r="F248" s="16">
        <v>3000</v>
      </c>
      <c r="G248" s="12">
        <v>330</v>
      </c>
      <c r="H248" s="16">
        <v>10000</v>
      </c>
      <c r="I248" s="12" t="s">
        <v>210</v>
      </c>
      <c r="J248" s="12" t="s">
        <v>2010</v>
      </c>
    </row>
    <row r="249" spans="1:10" ht="26.4" customHeight="1">
      <c r="A249" s="12" t="s">
        <v>2011</v>
      </c>
      <c r="B249" s="14" t="s">
        <v>925</v>
      </c>
      <c r="C249" s="13" t="s">
        <v>563</v>
      </c>
      <c r="D249" s="12"/>
      <c r="E249" s="12">
        <v>22</v>
      </c>
      <c r="F249" s="16">
        <v>3000</v>
      </c>
      <c r="G249" s="12">
        <v>250</v>
      </c>
      <c r="H249" s="12" t="s">
        <v>210</v>
      </c>
      <c r="I249" s="12" t="s">
        <v>210</v>
      </c>
      <c r="J249" s="12" t="s">
        <v>2012</v>
      </c>
    </row>
    <row r="250" spans="1:10" ht="26.4" customHeight="1">
      <c r="A250" s="12" t="s">
        <v>2013</v>
      </c>
      <c r="B250" s="14" t="s">
        <v>960</v>
      </c>
      <c r="C250" s="12" t="s">
        <v>59</v>
      </c>
      <c r="D250" s="12" t="s">
        <v>2019</v>
      </c>
      <c r="E250" s="12">
        <v>44</v>
      </c>
      <c r="F250" s="16">
        <v>5000</v>
      </c>
      <c r="G250" s="12">
        <v>450</v>
      </c>
      <c r="H250" s="16">
        <v>6000</v>
      </c>
      <c r="I250" s="12" t="s">
        <v>210</v>
      </c>
      <c r="J250" s="12" t="s">
        <v>2010</v>
      </c>
    </row>
    <row r="251" spans="1:10" ht="26.4" customHeight="1">
      <c r="A251" s="12" t="s">
        <v>2014</v>
      </c>
      <c r="B251" s="14" t="s">
        <v>960</v>
      </c>
      <c r="C251" s="13" t="s">
        <v>563</v>
      </c>
      <c r="D251" s="12"/>
      <c r="E251" s="12">
        <v>65</v>
      </c>
      <c r="F251" s="16">
        <v>10000</v>
      </c>
      <c r="G251" s="12">
        <v>600</v>
      </c>
      <c r="H251" s="12" t="s">
        <v>210</v>
      </c>
      <c r="I251" s="12" t="s">
        <v>210</v>
      </c>
      <c r="J251" s="12" t="s">
        <v>1987</v>
      </c>
    </row>
    <row r="252" spans="1:10" ht="26.4" customHeight="1">
      <c r="A252" s="12" t="s">
        <v>2015</v>
      </c>
      <c r="B252" s="14" t="s">
        <v>925</v>
      </c>
      <c r="C252" s="12" t="s">
        <v>59</v>
      </c>
      <c r="D252" s="12" t="s">
        <v>2018</v>
      </c>
      <c r="E252" s="12">
        <v>24</v>
      </c>
      <c r="F252" s="16">
        <v>1500</v>
      </c>
      <c r="G252" s="12">
        <v>200</v>
      </c>
      <c r="H252" s="16">
        <v>3500</v>
      </c>
      <c r="I252" s="12">
        <v>0</v>
      </c>
      <c r="J252" s="12" t="s">
        <v>2016</v>
      </c>
    </row>
    <row r="254" spans="1:10" ht="26.4" customHeight="1">
      <c r="A254" s="13" t="s">
        <v>0</v>
      </c>
      <c r="B254" s="13" t="s">
        <v>925</v>
      </c>
      <c r="C254" s="13" t="s">
        <v>1549</v>
      </c>
      <c r="D254" s="13" t="s">
        <v>1453</v>
      </c>
      <c r="E254" s="13" t="s">
        <v>3</v>
      </c>
      <c r="F254" s="13" t="s">
        <v>919</v>
      </c>
      <c r="G254" s="13" t="s">
        <v>1551</v>
      </c>
      <c r="H254" s="13" t="s">
        <v>921</v>
      </c>
      <c r="I254" s="13" t="s">
        <v>922</v>
      </c>
      <c r="J254" s="13" t="s">
        <v>8</v>
      </c>
    </row>
    <row r="255" spans="1:10" ht="26.4" customHeight="1">
      <c r="A255" s="12" t="s">
        <v>2022</v>
      </c>
      <c r="B255" s="14" t="s">
        <v>925</v>
      </c>
      <c r="C255" s="12" t="s">
        <v>59</v>
      </c>
      <c r="D255" s="12" t="s">
        <v>2023</v>
      </c>
      <c r="E255" s="12">
        <v>57</v>
      </c>
      <c r="F255" s="16">
        <v>5000</v>
      </c>
      <c r="G255" s="12">
        <v>350</v>
      </c>
      <c r="H255" s="16">
        <v>10000</v>
      </c>
      <c r="I255" s="12" t="s">
        <v>210</v>
      </c>
      <c r="J255" s="12" t="s">
        <v>2024</v>
      </c>
    </row>
    <row r="256" spans="1:10" ht="26.4" customHeight="1">
      <c r="A256" s="12" t="s">
        <v>2025</v>
      </c>
      <c r="B256" s="14" t="s">
        <v>925</v>
      </c>
      <c r="C256" s="13" t="s">
        <v>563</v>
      </c>
      <c r="D256" s="12"/>
      <c r="E256" s="12">
        <v>30</v>
      </c>
      <c r="F256" s="16">
        <v>3000</v>
      </c>
      <c r="G256" s="12">
        <v>320</v>
      </c>
      <c r="H256" s="12" t="s">
        <v>210</v>
      </c>
      <c r="I256" s="12" t="s">
        <v>210</v>
      </c>
      <c r="J256" s="12" t="s">
        <v>2026</v>
      </c>
    </row>
    <row r="257" spans="1:10" ht="26.4" customHeight="1">
      <c r="A257" s="12" t="s">
        <v>2027</v>
      </c>
      <c r="B257" s="14" t="s">
        <v>925</v>
      </c>
      <c r="C257" s="12" t="s">
        <v>59</v>
      </c>
      <c r="D257" s="12" t="s">
        <v>2028</v>
      </c>
      <c r="E257" s="12">
        <v>61</v>
      </c>
      <c r="F257" s="16">
        <v>10000</v>
      </c>
      <c r="G257" s="12">
        <v>500</v>
      </c>
      <c r="H257" s="12" t="s">
        <v>210</v>
      </c>
      <c r="I257" s="12" t="s">
        <v>210</v>
      </c>
      <c r="J257" s="12" t="s">
        <v>2029</v>
      </c>
    </row>
    <row r="258" spans="1:10" ht="26.4" customHeight="1">
      <c r="A258" s="12" t="s">
        <v>2030</v>
      </c>
      <c r="B258" s="14" t="s">
        <v>925</v>
      </c>
      <c r="C258" s="12" t="s">
        <v>59</v>
      </c>
      <c r="D258" s="12" t="s">
        <v>2031</v>
      </c>
      <c r="E258" s="12">
        <v>98</v>
      </c>
      <c r="F258" s="16">
        <v>15000</v>
      </c>
      <c r="G258" s="12">
        <v>800</v>
      </c>
      <c r="H258" s="12" t="s">
        <v>210</v>
      </c>
      <c r="I258" s="12" t="s">
        <v>210</v>
      </c>
      <c r="J258" s="12" t="s">
        <v>2029</v>
      </c>
    </row>
    <row r="259" spans="1:10" ht="26.4" customHeight="1">
      <c r="A259" s="12" t="s">
        <v>2032</v>
      </c>
      <c r="B259" s="14" t="s">
        <v>925</v>
      </c>
      <c r="C259" s="12"/>
      <c r="D259" s="12"/>
      <c r="E259" s="12">
        <v>200</v>
      </c>
      <c r="F259" s="16">
        <v>20000</v>
      </c>
      <c r="G259" s="16">
        <v>1300</v>
      </c>
      <c r="H259" s="12" t="s">
        <v>210</v>
      </c>
      <c r="I259" s="12" t="s">
        <v>210</v>
      </c>
      <c r="J259" s="12" t="s">
        <v>2033</v>
      </c>
    </row>
    <row r="260" spans="1:10" ht="26.4" customHeight="1">
      <c r="A260" s="12" t="s">
        <v>2034</v>
      </c>
      <c r="B260" s="14" t="s">
        <v>925</v>
      </c>
      <c r="C260" s="12" t="s">
        <v>59</v>
      </c>
      <c r="D260" s="12" t="s">
        <v>2035</v>
      </c>
      <c r="E260" s="12">
        <v>37</v>
      </c>
      <c r="F260" s="16">
        <v>9000</v>
      </c>
      <c r="G260" s="12">
        <v>630</v>
      </c>
      <c r="H260" s="12" t="s">
        <v>210</v>
      </c>
      <c r="I260" s="12" t="s">
        <v>210</v>
      </c>
      <c r="J260" s="12" t="s">
        <v>2036</v>
      </c>
    </row>
    <row r="261" spans="1:10" ht="26.4" customHeight="1">
      <c r="A261" s="12" t="s">
        <v>2037</v>
      </c>
      <c r="B261" s="14" t="s">
        <v>925</v>
      </c>
      <c r="C261" s="12" t="s">
        <v>59</v>
      </c>
      <c r="D261" s="12"/>
      <c r="E261" s="12">
        <v>32</v>
      </c>
      <c r="F261" s="16">
        <v>7000</v>
      </c>
      <c r="G261" s="12">
        <v>380</v>
      </c>
      <c r="H261" s="12" t="s">
        <v>210</v>
      </c>
      <c r="I261" s="12" t="s">
        <v>210</v>
      </c>
      <c r="J261" s="12" t="s">
        <v>2038</v>
      </c>
    </row>
    <row r="262" spans="1:10" ht="26.4" customHeight="1">
      <c r="A262" s="12" t="s">
        <v>2039</v>
      </c>
      <c r="B262" s="14" t="s">
        <v>925</v>
      </c>
      <c r="C262" s="12" t="s">
        <v>110</v>
      </c>
      <c r="D262" s="12"/>
      <c r="E262" s="12">
        <v>64</v>
      </c>
      <c r="F262" s="16">
        <v>7000</v>
      </c>
      <c r="G262" s="12">
        <v>600</v>
      </c>
      <c r="H262" s="12" t="s">
        <v>210</v>
      </c>
      <c r="I262" s="12" t="s">
        <v>210</v>
      </c>
      <c r="J262" s="12" t="s">
        <v>2040</v>
      </c>
    </row>
    <row r="263" spans="1:10" ht="26.4" customHeight="1">
      <c r="A263" s="12" t="s">
        <v>2041</v>
      </c>
      <c r="B263" s="14" t="s">
        <v>925</v>
      </c>
      <c r="C263" s="12" t="s">
        <v>59</v>
      </c>
      <c r="D263" s="12" t="s">
        <v>2042</v>
      </c>
      <c r="E263" s="12">
        <v>15.7</v>
      </c>
      <c r="F263" s="16">
        <v>3000</v>
      </c>
      <c r="G263" s="12">
        <v>240</v>
      </c>
      <c r="H263" s="16">
        <v>5000</v>
      </c>
      <c r="I263" s="12" t="s">
        <v>210</v>
      </c>
      <c r="J263" s="12" t="s">
        <v>2043</v>
      </c>
    </row>
    <row r="264" spans="1:10" ht="26.4" customHeight="1">
      <c r="A264" s="12" t="s">
        <v>2044</v>
      </c>
      <c r="B264" s="14" t="s">
        <v>925</v>
      </c>
      <c r="C264" s="12" t="s">
        <v>59</v>
      </c>
      <c r="D264" s="12" t="s">
        <v>2045</v>
      </c>
      <c r="E264" s="12">
        <v>13</v>
      </c>
      <c r="F264" s="16">
        <v>5000</v>
      </c>
      <c r="G264" s="12">
        <v>320</v>
      </c>
      <c r="H264" s="16">
        <v>3000</v>
      </c>
      <c r="I264" s="12" t="s">
        <v>210</v>
      </c>
      <c r="J264" s="12" t="s">
        <v>2046</v>
      </c>
    </row>
    <row r="265" spans="1:10" ht="26.4" customHeight="1">
      <c r="A265" s="12" t="s">
        <v>2047</v>
      </c>
      <c r="B265" s="14" t="s">
        <v>925</v>
      </c>
      <c r="C265" s="12" t="s">
        <v>59</v>
      </c>
      <c r="D265" s="12" t="s">
        <v>1675</v>
      </c>
      <c r="E265" s="12">
        <v>13</v>
      </c>
      <c r="F265" s="16">
        <v>4000</v>
      </c>
      <c r="G265" s="12">
        <v>300</v>
      </c>
      <c r="H265" s="16">
        <v>4000</v>
      </c>
      <c r="I265" s="12" t="s">
        <v>210</v>
      </c>
      <c r="J265" s="12"/>
    </row>
    <row r="266" spans="1:10" ht="26.4" customHeight="1">
      <c r="A266" s="12" t="s">
        <v>2048</v>
      </c>
      <c r="B266" s="14" t="s">
        <v>925</v>
      </c>
      <c r="C266" s="12" t="s">
        <v>59</v>
      </c>
      <c r="D266" s="12" t="s">
        <v>2049</v>
      </c>
      <c r="E266" s="12">
        <v>37.9</v>
      </c>
      <c r="F266" s="16">
        <v>5000</v>
      </c>
      <c r="G266" s="12">
        <v>250</v>
      </c>
      <c r="H266" s="16">
        <v>3000</v>
      </c>
      <c r="I266" s="12" t="s">
        <v>210</v>
      </c>
      <c r="J266" s="12" t="s">
        <v>2050</v>
      </c>
    </row>
    <row r="267" spans="1:10" ht="26.4" customHeight="1">
      <c r="A267" s="12" t="s">
        <v>2051</v>
      </c>
      <c r="B267" s="14" t="s">
        <v>925</v>
      </c>
      <c r="C267" s="12" t="s">
        <v>59</v>
      </c>
      <c r="D267" s="12"/>
      <c r="E267" s="12">
        <v>22</v>
      </c>
      <c r="F267" s="16">
        <v>7000</v>
      </c>
      <c r="G267" s="12">
        <v>500</v>
      </c>
      <c r="H267" s="12">
        <v>500</v>
      </c>
      <c r="I267" s="12">
        <v>30</v>
      </c>
      <c r="J267" s="12" t="s">
        <v>2052</v>
      </c>
    </row>
    <row r="268" spans="1:10" ht="26.4" customHeight="1">
      <c r="A268" s="12" t="s">
        <v>2053</v>
      </c>
      <c r="B268" s="14" t="s">
        <v>925</v>
      </c>
      <c r="C268" s="12" t="s">
        <v>59</v>
      </c>
      <c r="D268" s="12" t="s">
        <v>2054</v>
      </c>
      <c r="E268" s="12">
        <v>15</v>
      </c>
      <c r="F268" s="16">
        <v>5000</v>
      </c>
      <c r="G268" s="12">
        <v>400</v>
      </c>
      <c r="H268" s="16">
        <v>3500</v>
      </c>
      <c r="I268" s="12" t="s">
        <v>210</v>
      </c>
      <c r="J268" s="12"/>
    </row>
    <row r="269" spans="1:10" ht="26.4" customHeight="1">
      <c r="A269" s="12" t="s">
        <v>2053</v>
      </c>
      <c r="B269" s="14" t="s">
        <v>925</v>
      </c>
      <c r="C269" s="12" t="s">
        <v>59</v>
      </c>
      <c r="D269" s="12" t="s">
        <v>2055</v>
      </c>
      <c r="E269" s="12">
        <v>15</v>
      </c>
      <c r="F269" s="16">
        <v>5000</v>
      </c>
      <c r="G269" s="12">
        <v>290</v>
      </c>
      <c r="H269" s="16">
        <v>4500</v>
      </c>
      <c r="I269" s="12" t="s">
        <v>210</v>
      </c>
      <c r="J269" s="12"/>
    </row>
    <row r="270" spans="1:10" ht="26.4" customHeight="1">
      <c r="A270" s="12" t="s">
        <v>2056</v>
      </c>
      <c r="B270" s="14" t="s">
        <v>925</v>
      </c>
      <c r="C270" s="12" t="s">
        <v>59</v>
      </c>
      <c r="D270" s="12" t="s">
        <v>2057</v>
      </c>
      <c r="E270" s="12">
        <v>14</v>
      </c>
      <c r="F270" s="16">
        <v>5000</v>
      </c>
      <c r="G270" s="12">
        <v>390</v>
      </c>
      <c r="H270" s="16">
        <v>10000</v>
      </c>
      <c r="I270" s="12" t="s">
        <v>210</v>
      </c>
      <c r="J270" s="12" t="s">
        <v>2058</v>
      </c>
    </row>
    <row r="271" spans="1:10" ht="26.4" customHeight="1">
      <c r="A271" s="12" t="s">
        <v>2059</v>
      </c>
      <c r="B271" s="14" t="s">
        <v>925</v>
      </c>
      <c r="C271" s="12" t="s">
        <v>59</v>
      </c>
      <c r="D271" s="12" t="s">
        <v>2060</v>
      </c>
      <c r="E271" s="12">
        <v>30</v>
      </c>
      <c r="F271" s="16">
        <v>15000</v>
      </c>
      <c r="G271" s="12">
        <v>610</v>
      </c>
      <c r="H271" s="16">
        <v>8000</v>
      </c>
      <c r="I271" s="12" t="s">
        <v>210</v>
      </c>
      <c r="J271" s="12" t="s">
        <v>2061</v>
      </c>
    </row>
    <row r="272" spans="1:10" ht="26.4" customHeight="1">
      <c r="A272" s="12" t="s">
        <v>2062</v>
      </c>
      <c r="B272" s="14" t="s">
        <v>925</v>
      </c>
      <c r="C272" s="12" t="s">
        <v>59</v>
      </c>
      <c r="D272" s="12" t="s">
        <v>2063</v>
      </c>
      <c r="E272" s="12">
        <v>40</v>
      </c>
      <c r="F272" s="16">
        <v>7000</v>
      </c>
      <c r="G272" s="12">
        <v>700</v>
      </c>
      <c r="H272" s="16">
        <v>20000</v>
      </c>
      <c r="I272" s="12" t="s">
        <v>210</v>
      </c>
      <c r="J272" s="12" t="s">
        <v>2064</v>
      </c>
    </row>
    <row r="273" spans="1:10" ht="26.4" customHeight="1">
      <c r="A273" s="12" t="s">
        <v>2065</v>
      </c>
      <c r="B273" s="14" t="s">
        <v>925</v>
      </c>
      <c r="C273" s="13" t="s">
        <v>563</v>
      </c>
      <c r="D273" s="12"/>
      <c r="E273" s="12">
        <v>15</v>
      </c>
      <c r="F273" s="16">
        <v>5000</v>
      </c>
      <c r="G273" s="12">
        <v>290</v>
      </c>
      <c r="H273" s="12" t="s">
        <v>210</v>
      </c>
      <c r="I273" s="12" t="s">
        <v>210</v>
      </c>
      <c r="J273" s="12" t="s">
        <v>2066</v>
      </c>
    </row>
    <row r="274" spans="1:10" ht="26.4" customHeight="1">
      <c r="A274" s="12" t="s">
        <v>2065</v>
      </c>
      <c r="B274" s="14" t="s">
        <v>925</v>
      </c>
      <c r="C274" s="12" t="s">
        <v>59</v>
      </c>
      <c r="D274" s="12" t="s">
        <v>2067</v>
      </c>
      <c r="E274" s="12">
        <v>15</v>
      </c>
      <c r="F274" s="16">
        <v>5000</v>
      </c>
      <c r="G274" s="12">
        <v>300</v>
      </c>
      <c r="H274" s="12" t="s">
        <v>210</v>
      </c>
      <c r="I274" s="12" t="s">
        <v>210</v>
      </c>
      <c r="J274" s="12" t="s">
        <v>2068</v>
      </c>
    </row>
    <row r="275" spans="1:10" ht="26.4" customHeight="1">
      <c r="A275" s="12" t="s">
        <v>2069</v>
      </c>
      <c r="B275" s="14" t="s">
        <v>925</v>
      </c>
      <c r="C275" s="13" t="s">
        <v>563</v>
      </c>
      <c r="D275" s="12"/>
      <c r="E275" s="12">
        <v>10</v>
      </c>
      <c r="F275" s="16">
        <v>5500</v>
      </c>
      <c r="G275" s="12">
        <v>290</v>
      </c>
      <c r="H275" s="12" t="s">
        <v>210</v>
      </c>
      <c r="I275" s="12" t="s">
        <v>210</v>
      </c>
      <c r="J275" s="12" t="s">
        <v>2070</v>
      </c>
    </row>
    <row r="276" spans="1:10" ht="26.4" customHeight="1">
      <c r="A276" s="12" t="s">
        <v>2071</v>
      </c>
      <c r="B276" s="14" t="s">
        <v>925</v>
      </c>
      <c r="C276" s="13" t="s">
        <v>563</v>
      </c>
      <c r="D276" s="12"/>
      <c r="E276" s="12">
        <v>9.68</v>
      </c>
      <c r="F276" s="16">
        <v>3000</v>
      </c>
      <c r="G276" s="12">
        <v>170</v>
      </c>
      <c r="H276" s="12" t="s">
        <v>210</v>
      </c>
      <c r="I276" s="12" t="s">
        <v>210</v>
      </c>
      <c r="J276" s="12" t="s">
        <v>2070</v>
      </c>
    </row>
    <row r="277" spans="1:10" ht="26.4" customHeight="1">
      <c r="A277" s="12" t="s">
        <v>2072</v>
      </c>
      <c r="B277" s="14" t="s">
        <v>925</v>
      </c>
      <c r="C277" s="13" t="s">
        <v>563</v>
      </c>
      <c r="D277" s="12"/>
      <c r="E277" s="12">
        <v>10</v>
      </c>
      <c r="F277" s="16">
        <v>3000</v>
      </c>
      <c r="G277" s="12">
        <v>250</v>
      </c>
      <c r="H277" s="12" t="s">
        <v>210</v>
      </c>
      <c r="I277" s="12" t="s">
        <v>210</v>
      </c>
      <c r="J277" s="12" t="s">
        <v>2073</v>
      </c>
    </row>
    <row r="278" spans="1:10" ht="26.4" customHeight="1">
      <c r="A278" s="12" t="s">
        <v>2074</v>
      </c>
      <c r="B278" s="14" t="s">
        <v>925</v>
      </c>
      <c r="C278" s="12" t="s">
        <v>59</v>
      </c>
      <c r="D278" s="12"/>
      <c r="E278" s="12">
        <v>15</v>
      </c>
      <c r="F278" s="16">
        <v>3000</v>
      </c>
      <c r="G278" s="12">
        <v>160</v>
      </c>
      <c r="H278" s="12">
        <v>200</v>
      </c>
      <c r="I278" s="12" t="s">
        <v>210</v>
      </c>
      <c r="J278" s="12" t="s">
        <v>2075</v>
      </c>
    </row>
    <row r="279" spans="1:10" ht="26.4" customHeight="1">
      <c r="A279" s="12" t="s">
        <v>2076</v>
      </c>
      <c r="B279" s="14" t="s">
        <v>925</v>
      </c>
      <c r="C279" s="12" t="s">
        <v>59</v>
      </c>
      <c r="D279" s="12" t="s">
        <v>2077</v>
      </c>
      <c r="E279" s="12">
        <v>24</v>
      </c>
      <c r="F279" s="16">
        <v>5510</v>
      </c>
      <c r="G279" s="12">
        <v>470</v>
      </c>
      <c r="H279" s="16">
        <v>15000</v>
      </c>
      <c r="I279" s="12">
        <v>79</v>
      </c>
      <c r="J279" s="12"/>
    </row>
    <row r="280" spans="1:10" ht="26.4" customHeight="1">
      <c r="A280" s="12" t="s">
        <v>2078</v>
      </c>
      <c r="B280" s="14" t="s">
        <v>925</v>
      </c>
      <c r="C280" s="12" t="s">
        <v>59</v>
      </c>
      <c r="D280" s="12" t="s">
        <v>2079</v>
      </c>
      <c r="E280" s="12">
        <v>50</v>
      </c>
      <c r="F280" s="16">
        <v>16500</v>
      </c>
      <c r="G280" s="16">
        <v>1100</v>
      </c>
      <c r="H280" s="16">
        <v>20000</v>
      </c>
      <c r="I280" s="12">
        <v>60</v>
      </c>
      <c r="J280" s="12" t="s">
        <v>2080</v>
      </c>
    </row>
    <row r="281" spans="1:10" ht="26.4" customHeight="1">
      <c r="A281" s="12" t="s">
        <v>2081</v>
      </c>
      <c r="B281" s="14" t="s">
        <v>925</v>
      </c>
      <c r="C281" s="12" t="s">
        <v>59</v>
      </c>
      <c r="D281" s="12" t="s">
        <v>2082</v>
      </c>
      <c r="E281" s="12">
        <v>50</v>
      </c>
      <c r="F281" s="16">
        <v>10000</v>
      </c>
      <c r="G281" s="12">
        <v>786</v>
      </c>
      <c r="H281" s="16">
        <v>25000</v>
      </c>
      <c r="I281" s="12" t="s">
        <v>210</v>
      </c>
      <c r="J281" s="12"/>
    </row>
    <row r="282" spans="1:10" ht="26.4" customHeight="1">
      <c r="A282" s="12" t="s">
        <v>2083</v>
      </c>
      <c r="B282" s="14" t="s">
        <v>925</v>
      </c>
      <c r="C282" s="12" t="s">
        <v>59</v>
      </c>
      <c r="D282" s="12" t="s">
        <v>2063</v>
      </c>
      <c r="E282" s="12">
        <v>20</v>
      </c>
      <c r="F282" s="16">
        <v>7000</v>
      </c>
      <c r="G282" s="12">
        <v>500</v>
      </c>
      <c r="H282" s="16">
        <v>18000</v>
      </c>
      <c r="I282" s="12" t="s">
        <v>210</v>
      </c>
      <c r="J282" s="12" t="s">
        <v>2084</v>
      </c>
    </row>
    <row r="283" spans="1:10" ht="26.4" customHeight="1">
      <c r="A283" s="12" t="s">
        <v>2085</v>
      </c>
      <c r="B283" s="14" t="s">
        <v>925</v>
      </c>
      <c r="C283" s="12" t="s">
        <v>59</v>
      </c>
      <c r="D283" s="12" t="s">
        <v>2086</v>
      </c>
      <c r="E283" s="12">
        <v>40</v>
      </c>
      <c r="F283" s="16">
        <v>10000</v>
      </c>
      <c r="G283" s="12">
        <v>530</v>
      </c>
      <c r="H283" s="16">
        <v>15000</v>
      </c>
      <c r="I283" s="12" t="s">
        <v>210</v>
      </c>
      <c r="J283" s="12" t="s">
        <v>2084</v>
      </c>
    </row>
    <row r="284" spans="1:10" ht="26.4" customHeight="1">
      <c r="A284" s="12" t="s">
        <v>2087</v>
      </c>
      <c r="B284" s="14" t="s">
        <v>925</v>
      </c>
      <c r="C284" s="12" t="s">
        <v>59</v>
      </c>
      <c r="D284" s="12" t="s">
        <v>2088</v>
      </c>
      <c r="E284" s="12">
        <v>30</v>
      </c>
      <c r="F284" s="16">
        <v>4000</v>
      </c>
      <c r="G284" s="12">
        <v>450</v>
      </c>
      <c r="H284" s="16">
        <v>15000</v>
      </c>
      <c r="I284" s="12" t="s">
        <v>210</v>
      </c>
      <c r="J284" s="12" t="s">
        <v>2089</v>
      </c>
    </row>
    <row r="285" spans="1:10" ht="26.4" customHeight="1">
      <c r="A285" s="12" t="s">
        <v>2090</v>
      </c>
      <c r="B285" s="14" t="s">
        <v>925</v>
      </c>
      <c r="C285" s="12" t="s">
        <v>59</v>
      </c>
      <c r="D285" s="12" t="s">
        <v>2091</v>
      </c>
      <c r="E285" s="12">
        <v>20</v>
      </c>
      <c r="F285" s="16">
        <v>3000</v>
      </c>
      <c r="G285" s="12">
        <v>270</v>
      </c>
      <c r="H285" s="16">
        <v>6000</v>
      </c>
      <c r="I285" s="12">
        <v>30</v>
      </c>
      <c r="J285" s="12"/>
    </row>
    <row r="286" spans="1:10" ht="26.4" customHeight="1">
      <c r="A286" s="12" t="s">
        <v>2092</v>
      </c>
      <c r="B286" s="14" t="s">
        <v>925</v>
      </c>
      <c r="C286" s="12" t="s">
        <v>59</v>
      </c>
      <c r="D286" s="12" t="s">
        <v>2093</v>
      </c>
      <c r="E286" s="12">
        <v>23</v>
      </c>
      <c r="F286" s="16">
        <v>10000</v>
      </c>
      <c r="G286" s="12">
        <v>550</v>
      </c>
      <c r="H286" s="16">
        <v>2500</v>
      </c>
      <c r="I286" s="12" t="s">
        <v>210</v>
      </c>
      <c r="J286" s="12" t="s">
        <v>2094</v>
      </c>
    </row>
    <row r="287" spans="1:10" ht="26.4" customHeight="1">
      <c r="A287" s="12" t="s">
        <v>2095</v>
      </c>
      <c r="B287" s="14" t="s">
        <v>925</v>
      </c>
      <c r="C287" s="12" t="s">
        <v>59</v>
      </c>
      <c r="D287" s="12" t="s">
        <v>2096</v>
      </c>
      <c r="E287" s="12">
        <v>25</v>
      </c>
      <c r="F287" s="16">
        <v>7350</v>
      </c>
      <c r="G287" s="12">
        <v>575</v>
      </c>
      <c r="H287" s="16">
        <v>12000</v>
      </c>
      <c r="I287" s="12">
        <v>50</v>
      </c>
      <c r="J287" s="12"/>
    </row>
    <row r="288" spans="1:10" ht="26.4" customHeight="1">
      <c r="A288" s="12" t="s">
        <v>2097</v>
      </c>
      <c r="B288" s="14" t="s">
        <v>925</v>
      </c>
      <c r="C288" s="13" t="s">
        <v>563</v>
      </c>
      <c r="D288" s="12"/>
      <c r="E288" s="12">
        <v>58.7</v>
      </c>
      <c r="F288" s="16">
        <v>30000</v>
      </c>
      <c r="G288" s="16">
        <v>2000</v>
      </c>
      <c r="H288" s="12" t="s">
        <v>210</v>
      </c>
      <c r="I288" s="12">
        <v>100</v>
      </c>
      <c r="J288" s="12" t="s">
        <v>2098</v>
      </c>
    </row>
    <row r="289" spans="1:10" ht="26.4" customHeight="1">
      <c r="A289" s="12" t="s">
        <v>2097</v>
      </c>
      <c r="B289" s="14" t="s">
        <v>925</v>
      </c>
      <c r="C289" s="13" t="s">
        <v>563</v>
      </c>
      <c r="D289" s="12"/>
      <c r="E289" s="12">
        <v>48</v>
      </c>
      <c r="F289" s="16">
        <v>30000</v>
      </c>
      <c r="G289" s="16">
        <v>1800</v>
      </c>
      <c r="H289" s="12" t="s">
        <v>210</v>
      </c>
      <c r="I289" s="12">
        <v>100</v>
      </c>
      <c r="J289" s="12" t="s">
        <v>2099</v>
      </c>
    </row>
    <row r="290" spans="1:10" ht="26.4" customHeight="1">
      <c r="A290" s="12" t="s">
        <v>2097</v>
      </c>
      <c r="B290" s="14" t="s">
        <v>925</v>
      </c>
      <c r="C290" s="12" t="s">
        <v>59</v>
      </c>
      <c r="D290" s="12"/>
      <c r="E290" s="12">
        <v>100</v>
      </c>
      <c r="F290" s="16">
        <v>60000</v>
      </c>
      <c r="G290" s="16">
        <v>3800</v>
      </c>
      <c r="H290" s="12" t="s">
        <v>210</v>
      </c>
      <c r="I290" s="12">
        <v>200</v>
      </c>
      <c r="J290" s="12" t="s">
        <v>2100</v>
      </c>
    </row>
    <row r="291" spans="1:10" ht="26.4" customHeight="1">
      <c r="A291" s="12" t="s">
        <v>2101</v>
      </c>
      <c r="B291" s="14" t="s">
        <v>925</v>
      </c>
      <c r="C291" s="12" t="s">
        <v>59</v>
      </c>
      <c r="D291" s="12" t="s">
        <v>2102</v>
      </c>
      <c r="E291" s="12">
        <v>25</v>
      </c>
      <c r="F291" s="16">
        <v>3000</v>
      </c>
      <c r="G291" s="12">
        <v>250</v>
      </c>
      <c r="H291" s="16">
        <v>3000</v>
      </c>
      <c r="I291" s="12" t="s">
        <v>210</v>
      </c>
      <c r="J291" s="12" t="s">
        <v>2103</v>
      </c>
    </row>
    <row r="292" spans="1:10" ht="26.4" customHeight="1">
      <c r="A292" s="12" t="s">
        <v>2104</v>
      </c>
      <c r="B292" s="14" t="s">
        <v>925</v>
      </c>
      <c r="C292" s="12" t="s">
        <v>59</v>
      </c>
      <c r="D292" s="12" t="s">
        <v>2105</v>
      </c>
      <c r="E292" s="12">
        <v>33</v>
      </c>
      <c r="F292" s="16">
        <v>10000</v>
      </c>
      <c r="G292" s="12">
        <v>500</v>
      </c>
      <c r="H292" s="16">
        <v>12000</v>
      </c>
      <c r="I292" s="12">
        <v>80</v>
      </c>
      <c r="J292" s="12" t="s">
        <v>2106</v>
      </c>
    </row>
    <row r="293" spans="1:10" ht="26.4" customHeight="1">
      <c r="A293" s="12" t="s">
        <v>2107</v>
      </c>
      <c r="B293" s="14" t="s">
        <v>925</v>
      </c>
      <c r="C293" s="12" t="s">
        <v>60</v>
      </c>
      <c r="D293" s="12"/>
      <c r="E293" s="12">
        <v>46</v>
      </c>
      <c r="F293" s="16">
        <v>10000</v>
      </c>
      <c r="G293" s="12">
        <v>550</v>
      </c>
      <c r="H293" s="12" t="s">
        <v>210</v>
      </c>
      <c r="I293" s="12">
        <v>100</v>
      </c>
      <c r="J293" s="12" t="s">
        <v>2108</v>
      </c>
    </row>
    <row r="294" spans="1:10" ht="26.4" customHeight="1">
      <c r="A294" s="12" t="s">
        <v>2109</v>
      </c>
      <c r="B294" s="14" t="s">
        <v>925</v>
      </c>
      <c r="C294" s="13" t="s">
        <v>563</v>
      </c>
      <c r="D294" s="12"/>
      <c r="E294" s="12">
        <v>32</v>
      </c>
      <c r="F294" s="16">
        <v>5000</v>
      </c>
      <c r="G294" s="12">
        <v>450</v>
      </c>
      <c r="H294" s="12"/>
      <c r="I294" s="12"/>
      <c r="J294" s="12" t="s">
        <v>2110</v>
      </c>
    </row>
    <row r="295" spans="1:10" ht="26.4" customHeight="1">
      <c r="A295" s="12" t="s">
        <v>2109</v>
      </c>
      <c r="B295" s="14" t="s">
        <v>925</v>
      </c>
      <c r="C295" s="12" t="s">
        <v>59</v>
      </c>
      <c r="D295" s="12"/>
      <c r="E295" s="12">
        <v>42</v>
      </c>
      <c r="F295" s="16">
        <v>8000</v>
      </c>
      <c r="G295" s="12">
        <v>650</v>
      </c>
      <c r="H295" s="12"/>
      <c r="I295" s="12"/>
      <c r="J295" s="12" t="s">
        <v>2111</v>
      </c>
    </row>
    <row r="296" spans="1:10" ht="26.4" customHeight="1">
      <c r="A296" s="12" t="s">
        <v>2112</v>
      </c>
      <c r="B296" s="14" t="s">
        <v>960</v>
      </c>
      <c r="C296" s="12" t="s">
        <v>59</v>
      </c>
      <c r="D296" s="12" t="s">
        <v>2113</v>
      </c>
      <c r="E296" s="12">
        <v>45</v>
      </c>
      <c r="F296" s="16">
        <v>2000</v>
      </c>
      <c r="G296" s="12">
        <v>170</v>
      </c>
      <c r="H296" s="16">
        <v>6000</v>
      </c>
      <c r="I296" s="12" t="s">
        <v>210</v>
      </c>
      <c r="J296" s="12" t="s">
        <v>2114</v>
      </c>
    </row>
    <row r="299" spans="1:10" ht="26.4" customHeight="1">
      <c r="A299" s="13" t="s">
        <v>0</v>
      </c>
      <c r="B299" s="13" t="s">
        <v>925</v>
      </c>
      <c r="C299" s="13" t="s">
        <v>1549</v>
      </c>
      <c r="D299" s="13" t="s">
        <v>1453</v>
      </c>
      <c r="E299" s="13" t="s">
        <v>3</v>
      </c>
      <c r="F299" s="13" t="s">
        <v>919</v>
      </c>
      <c r="G299" s="13" t="s">
        <v>1551</v>
      </c>
      <c r="H299" s="13" t="s">
        <v>921</v>
      </c>
      <c r="I299" s="13" t="s">
        <v>922</v>
      </c>
      <c r="J299" s="13" t="s">
        <v>8</v>
      </c>
    </row>
    <row r="300" spans="1:10" ht="26.4" customHeight="1">
      <c r="A300" s="12" t="s">
        <v>2115</v>
      </c>
      <c r="B300" s="14" t="s">
        <v>925</v>
      </c>
      <c r="C300" s="12" t="s">
        <v>59</v>
      </c>
      <c r="D300" s="12" t="s">
        <v>2116</v>
      </c>
      <c r="E300" s="12">
        <v>55</v>
      </c>
      <c r="F300" s="16">
        <v>11000</v>
      </c>
      <c r="G300" s="12">
        <v>990</v>
      </c>
      <c r="H300" s="12"/>
      <c r="I300" s="12"/>
      <c r="J300" s="12" t="s">
        <v>2117</v>
      </c>
    </row>
    <row r="301" spans="1:10" ht="26.4" customHeight="1">
      <c r="A301" s="12" t="s">
        <v>2118</v>
      </c>
      <c r="B301" s="14" t="s">
        <v>925</v>
      </c>
      <c r="C301" s="12" t="s">
        <v>110</v>
      </c>
      <c r="D301" s="12"/>
      <c r="E301" s="12">
        <v>55</v>
      </c>
      <c r="F301" s="16">
        <v>18000</v>
      </c>
      <c r="G301" s="16">
        <v>1200</v>
      </c>
      <c r="H301" s="12" t="s">
        <v>210</v>
      </c>
      <c r="I301" s="12">
        <v>360</v>
      </c>
      <c r="J301" s="12" t="s">
        <v>2119</v>
      </c>
    </row>
    <row r="302" spans="1:10" ht="26.4" customHeight="1">
      <c r="A302" s="12" t="s">
        <v>2120</v>
      </c>
      <c r="B302" s="14" t="s">
        <v>925</v>
      </c>
      <c r="C302" s="12" t="s">
        <v>2121</v>
      </c>
      <c r="D302" s="12" t="s">
        <v>2122</v>
      </c>
      <c r="E302" s="12">
        <v>60</v>
      </c>
      <c r="F302" s="16">
        <v>15000</v>
      </c>
      <c r="G302" s="12">
        <v>900</v>
      </c>
      <c r="H302" s="16">
        <v>5000</v>
      </c>
      <c r="I302" s="12">
        <v>0</v>
      </c>
      <c r="J302" s="12" t="s">
        <v>2123</v>
      </c>
    </row>
    <row r="303" spans="1:10" ht="26.4" customHeight="1">
      <c r="A303" s="12" t="s">
        <v>2124</v>
      </c>
      <c r="B303" s="14" t="s">
        <v>925</v>
      </c>
      <c r="C303" s="12" t="s">
        <v>59</v>
      </c>
      <c r="D303" s="12"/>
      <c r="E303" s="12">
        <v>90</v>
      </c>
      <c r="F303" s="16">
        <v>10000</v>
      </c>
      <c r="G303" s="12">
        <v>890</v>
      </c>
      <c r="H303" s="12"/>
      <c r="I303" s="12">
        <v>32</v>
      </c>
      <c r="J303" s="12" t="s">
        <v>2125</v>
      </c>
    </row>
    <row r="304" spans="1:10" ht="26.4" customHeight="1">
      <c r="A304" s="12" t="s">
        <v>2124</v>
      </c>
      <c r="B304" s="14" t="s">
        <v>925</v>
      </c>
      <c r="C304" s="12" t="s">
        <v>59</v>
      </c>
      <c r="D304" s="12"/>
      <c r="E304" s="12">
        <v>20</v>
      </c>
      <c r="F304" s="16">
        <v>2000</v>
      </c>
      <c r="G304" s="12">
        <v>200</v>
      </c>
      <c r="H304" s="12"/>
      <c r="I304" s="12">
        <v>7</v>
      </c>
      <c r="J304" s="12" t="s">
        <v>2126</v>
      </c>
    </row>
    <row r="305" spans="1:10" ht="26.4" customHeight="1">
      <c r="A305" s="12" t="s">
        <v>2127</v>
      </c>
      <c r="B305" s="14" t="s">
        <v>925</v>
      </c>
      <c r="C305" s="12" t="s">
        <v>59</v>
      </c>
      <c r="D305" s="12"/>
      <c r="E305" s="12">
        <v>40</v>
      </c>
      <c r="F305" s="16">
        <v>10000</v>
      </c>
      <c r="G305" s="12">
        <v>750</v>
      </c>
      <c r="H305" s="12" t="s">
        <v>210</v>
      </c>
      <c r="I305" s="12">
        <v>0</v>
      </c>
      <c r="J305" s="12" t="s">
        <v>2128</v>
      </c>
    </row>
    <row r="306" spans="1:10" ht="26.4" customHeight="1">
      <c r="A306" s="12" t="s">
        <v>2129</v>
      </c>
      <c r="B306" s="14" t="s">
        <v>925</v>
      </c>
      <c r="C306" s="12" t="s">
        <v>59</v>
      </c>
      <c r="D306" s="12" t="s">
        <v>2130</v>
      </c>
      <c r="E306" s="12">
        <v>21</v>
      </c>
      <c r="F306" s="16">
        <v>5000</v>
      </c>
      <c r="G306" s="12">
        <v>400</v>
      </c>
      <c r="H306" s="12" t="s">
        <v>210</v>
      </c>
      <c r="I306" s="12">
        <v>20</v>
      </c>
      <c r="J306" s="12" t="s">
        <v>2131</v>
      </c>
    </row>
    <row r="307" spans="1:10" ht="26.4" customHeight="1">
      <c r="A307" s="12" t="s">
        <v>2132</v>
      </c>
      <c r="B307" s="14" t="s">
        <v>925</v>
      </c>
      <c r="C307" s="12" t="s">
        <v>59</v>
      </c>
      <c r="D307" s="12"/>
      <c r="E307" s="12">
        <v>60</v>
      </c>
      <c r="F307" s="16">
        <v>10000</v>
      </c>
      <c r="G307" s="12">
        <v>600</v>
      </c>
      <c r="H307" s="12" t="s">
        <v>210</v>
      </c>
      <c r="I307" s="12">
        <v>0</v>
      </c>
      <c r="J307" s="12" t="s">
        <v>2133</v>
      </c>
    </row>
    <row r="308" spans="1:10" ht="26.4" customHeight="1">
      <c r="A308" s="12" t="s">
        <v>2134</v>
      </c>
      <c r="B308" s="14" t="s">
        <v>925</v>
      </c>
      <c r="C308" s="12" t="s">
        <v>59</v>
      </c>
      <c r="D308" s="12"/>
      <c r="E308" s="12">
        <v>36</v>
      </c>
      <c r="F308" s="16">
        <v>15000</v>
      </c>
      <c r="G308" s="16">
        <v>1100</v>
      </c>
      <c r="H308" s="12" t="s">
        <v>210</v>
      </c>
      <c r="I308" s="12">
        <v>0</v>
      </c>
      <c r="J308" s="12" t="s">
        <v>2135</v>
      </c>
    </row>
    <row r="309" spans="1:10" ht="26.4" customHeight="1">
      <c r="A309" s="12" t="s">
        <v>2136</v>
      </c>
      <c r="B309" s="14" t="s">
        <v>925</v>
      </c>
      <c r="C309" s="12" t="s">
        <v>59</v>
      </c>
      <c r="D309" s="12"/>
      <c r="E309" s="12">
        <v>30</v>
      </c>
      <c r="F309" s="16">
        <v>20000</v>
      </c>
      <c r="G309" s="12">
        <v>750</v>
      </c>
      <c r="H309" s="12" t="s">
        <v>210</v>
      </c>
      <c r="I309" s="12">
        <v>50</v>
      </c>
      <c r="J309" s="12" t="s">
        <v>2137</v>
      </c>
    </row>
    <row r="310" spans="1:10" ht="26.4" customHeight="1">
      <c r="A310" s="12" t="s">
        <v>2138</v>
      </c>
      <c r="B310" s="14" t="s">
        <v>925</v>
      </c>
      <c r="C310" s="12" t="s">
        <v>59</v>
      </c>
      <c r="D310" s="12" t="s">
        <v>2139</v>
      </c>
      <c r="E310" s="12">
        <v>36</v>
      </c>
      <c r="F310" s="16">
        <v>12000</v>
      </c>
      <c r="G310" s="16">
        <v>1100</v>
      </c>
      <c r="H310" s="16">
        <v>8000</v>
      </c>
      <c r="I310" s="12">
        <v>75</v>
      </c>
      <c r="J310" s="12" t="s">
        <v>2140</v>
      </c>
    </row>
    <row r="311" spans="1:10" ht="26.4" customHeight="1">
      <c r="A311" s="12" t="s">
        <v>2141</v>
      </c>
      <c r="B311" s="14" t="s">
        <v>925</v>
      </c>
      <c r="C311" s="12" t="s">
        <v>59</v>
      </c>
      <c r="D311" s="12" t="s">
        <v>2142</v>
      </c>
      <c r="E311" s="12">
        <v>20</v>
      </c>
      <c r="F311" s="16">
        <v>7000</v>
      </c>
      <c r="G311" s="12">
        <v>550</v>
      </c>
      <c r="H311" s="16">
        <v>10000</v>
      </c>
      <c r="I311" s="12">
        <v>0</v>
      </c>
      <c r="J311" s="12" t="s">
        <v>2143</v>
      </c>
    </row>
    <row r="312" spans="1:10" ht="26.4" customHeight="1">
      <c r="A312" s="12" t="s">
        <v>2144</v>
      </c>
      <c r="B312" s="14" t="s">
        <v>925</v>
      </c>
      <c r="C312" s="12" t="s">
        <v>59</v>
      </c>
      <c r="D312" s="12" t="s">
        <v>2145</v>
      </c>
      <c r="E312" s="12">
        <v>36</v>
      </c>
      <c r="F312" s="16">
        <v>7000</v>
      </c>
      <c r="G312" s="12">
        <v>500</v>
      </c>
      <c r="H312" s="16">
        <v>20000</v>
      </c>
      <c r="I312" s="12">
        <v>0</v>
      </c>
      <c r="J312" s="12" t="s">
        <v>2146</v>
      </c>
    </row>
    <row r="313" spans="1:10" ht="26.4" customHeight="1">
      <c r="A313" s="12" t="s">
        <v>2147</v>
      </c>
      <c r="B313" s="14" t="s">
        <v>925</v>
      </c>
      <c r="C313" s="12" t="s">
        <v>59</v>
      </c>
      <c r="D313" s="12"/>
      <c r="E313" s="12">
        <v>30</v>
      </c>
      <c r="F313" s="16">
        <v>5000</v>
      </c>
      <c r="G313" s="12">
        <v>360</v>
      </c>
      <c r="H313" s="12" t="s">
        <v>210</v>
      </c>
      <c r="I313" s="12">
        <v>94</v>
      </c>
      <c r="J313" s="12" t="s">
        <v>2148</v>
      </c>
    </row>
    <row r="314" spans="1:10" ht="26.4" customHeight="1">
      <c r="A314" s="12" t="s">
        <v>2149</v>
      </c>
      <c r="B314" s="14" t="s">
        <v>925</v>
      </c>
      <c r="C314" s="12" t="s">
        <v>60</v>
      </c>
      <c r="D314" s="12"/>
      <c r="E314" s="12">
        <v>43</v>
      </c>
      <c r="F314" s="16">
        <v>5000</v>
      </c>
      <c r="G314" s="12">
        <v>458</v>
      </c>
      <c r="H314" s="16">
        <v>11000</v>
      </c>
      <c r="I314" s="12">
        <v>22</v>
      </c>
      <c r="J314" s="12" t="s">
        <v>2150</v>
      </c>
    </row>
    <row r="315" spans="1:10" ht="26.4" customHeight="1">
      <c r="A315" s="12" t="s">
        <v>2151</v>
      </c>
      <c r="B315" s="14" t="s">
        <v>925</v>
      </c>
      <c r="C315" s="12" t="s">
        <v>59</v>
      </c>
      <c r="D315" s="12" t="s">
        <v>2152</v>
      </c>
      <c r="E315" s="12">
        <v>37</v>
      </c>
      <c r="F315" s="16">
        <v>18000</v>
      </c>
      <c r="G315" s="12">
        <v>670</v>
      </c>
      <c r="H315" s="16">
        <v>30000</v>
      </c>
      <c r="I315" s="12">
        <v>36</v>
      </c>
      <c r="J315" s="12" t="s">
        <v>2153</v>
      </c>
    </row>
    <row r="316" spans="1:10" ht="26.4" customHeight="1">
      <c r="A316" s="12" t="s">
        <v>2154</v>
      </c>
      <c r="B316" s="14" t="s">
        <v>925</v>
      </c>
      <c r="C316" s="13" t="s">
        <v>563</v>
      </c>
      <c r="D316" s="12"/>
      <c r="E316" s="12">
        <v>30</v>
      </c>
      <c r="F316" s="16">
        <v>18000</v>
      </c>
      <c r="G316" s="12">
        <v>750</v>
      </c>
      <c r="H316" s="12" t="s">
        <v>210</v>
      </c>
      <c r="I316" s="12">
        <v>0</v>
      </c>
      <c r="J316" s="12" t="s">
        <v>2155</v>
      </c>
    </row>
    <row r="317" spans="1:10" ht="26.4" customHeight="1">
      <c r="A317" s="12" t="s">
        <v>2156</v>
      </c>
      <c r="B317" s="14" t="s">
        <v>925</v>
      </c>
      <c r="C317" s="13" t="s">
        <v>563</v>
      </c>
      <c r="D317" s="12"/>
      <c r="E317" s="12">
        <v>35</v>
      </c>
      <c r="F317" s="16">
        <v>15000</v>
      </c>
      <c r="G317" s="16">
        <v>1000</v>
      </c>
      <c r="H317" s="12" t="s">
        <v>210</v>
      </c>
      <c r="I317" s="12">
        <v>0</v>
      </c>
      <c r="J317" s="12" t="s">
        <v>2157</v>
      </c>
    </row>
    <row r="318" spans="1:10" ht="26.4" customHeight="1">
      <c r="A318" s="12" t="s">
        <v>1282</v>
      </c>
      <c r="B318" s="14" t="s">
        <v>925</v>
      </c>
      <c r="C318" s="12" t="s">
        <v>59</v>
      </c>
      <c r="D318" s="12" t="s">
        <v>2158</v>
      </c>
      <c r="E318" s="12">
        <v>52</v>
      </c>
      <c r="F318" s="16">
        <v>6000</v>
      </c>
      <c r="G318" s="12">
        <v>420</v>
      </c>
      <c r="H318" s="16">
        <v>8000</v>
      </c>
      <c r="I318" s="12" t="s">
        <v>210</v>
      </c>
      <c r="J318" s="12" t="s">
        <v>2159</v>
      </c>
    </row>
    <row r="319" spans="1:10" ht="26.4" customHeight="1">
      <c r="A319" s="12" t="s">
        <v>2160</v>
      </c>
      <c r="B319" s="14" t="s">
        <v>925</v>
      </c>
      <c r="C319" s="12" t="s">
        <v>59</v>
      </c>
      <c r="D319" s="12"/>
      <c r="E319" s="12">
        <v>23</v>
      </c>
      <c r="F319" s="16">
        <v>5000</v>
      </c>
      <c r="G319" s="12">
        <v>450</v>
      </c>
      <c r="H319" s="16">
        <v>2000</v>
      </c>
      <c r="I319" s="12">
        <v>50</v>
      </c>
      <c r="J319" s="12" t="s">
        <v>2161</v>
      </c>
    </row>
    <row r="320" spans="1:10" ht="26.4" customHeight="1">
      <c r="A320" s="12" t="s">
        <v>2162</v>
      </c>
      <c r="B320" s="14" t="s">
        <v>925</v>
      </c>
      <c r="C320" s="12" t="s">
        <v>59</v>
      </c>
      <c r="D320" s="12" t="s">
        <v>2163</v>
      </c>
      <c r="E320" s="12">
        <v>20</v>
      </c>
      <c r="F320" s="16">
        <v>10000</v>
      </c>
      <c r="G320" s="12">
        <v>550</v>
      </c>
      <c r="H320" s="16">
        <v>5000</v>
      </c>
      <c r="I320" s="12">
        <v>30</v>
      </c>
      <c r="J320" s="12" t="s">
        <v>2164</v>
      </c>
    </row>
    <row r="321" spans="1:10" ht="26.4" customHeight="1">
      <c r="A321" s="12" t="s">
        <v>2165</v>
      </c>
      <c r="B321" s="14" t="s">
        <v>925</v>
      </c>
      <c r="C321" s="12" t="s">
        <v>59</v>
      </c>
      <c r="D321" s="12" t="s">
        <v>2166</v>
      </c>
      <c r="E321" s="12">
        <v>20</v>
      </c>
      <c r="F321" s="16">
        <v>5000</v>
      </c>
      <c r="G321" s="12">
        <v>550</v>
      </c>
      <c r="H321" s="16">
        <v>5000</v>
      </c>
      <c r="I321" s="12">
        <v>30</v>
      </c>
      <c r="J321" s="12" t="s">
        <v>2167</v>
      </c>
    </row>
    <row r="322" spans="1:10" ht="26.4" customHeight="1">
      <c r="A322" s="12" t="s">
        <v>2168</v>
      </c>
      <c r="B322" s="14" t="s">
        <v>925</v>
      </c>
      <c r="C322" s="12" t="s">
        <v>59</v>
      </c>
      <c r="D322" s="12" t="s">
        <v>2169</v>
      </c>
      <c r="E322" s="12">
        <v>34</v>
      </c>
      <c r="F322" s="16">
        <v>10000</v>
      </c>
      <c r="G322" s="16">
        <v>1200</v>
      </c>
      <c r="H322" s="16">
        <v>6000</v>
      </c>
      <c r="I322" s="12">
        <v>0</v>
      </c>
      <c r="J322" s="12" t="s">
        <v>2170</v>
      </c>
    </row>
    <row r="323" spans="1:10" ht="26.4" customHeight="1">
      <c r="A323" s="12" t="s">
        <v>2171</v>
      </c>
      <c r="B323" s="14" t="s">
        <v>925</v>
      </c>
      <c r="C323" s="12" t="s">
        <v>59</v>
      </c>
      <c r="D323" s="12" t="s">
        <v>2172</v>
      </c>
      <c r="E323" s="12">
        <v>60</v>
      </c>
      <c r="F323" s="16">
        <v>10000</v>
      </c>
      <c r="G323" s="12">
        <v>600</v>
      </c>
      <c r="H323" s="16">
        <v>5000</v>
      </c>
      <c r="I323" s="12" t="s">
        <v>210</v>
      </c>
      <c r="J323" s="12" t="s">
        <v>2173</v>
      </c>
    </row>
    <row r="324" spans="1:10" ht="26.4" customHeight="1">
      <c r="A324" s="12" t="s">
        <v>2174</v>
      </c>
      <c r="B324" s="14" t="s">
        <v>925</v>
      </c>
      <c r="C324" s="12" t="s">
        <v>59</v>
      </c>
      <c r="D324" s="12"/>
      <c r="E324" s="12">
        <v>36.5</v>
      </c>
      <c r="F324" s="16">
        <v>5000</v>
      </c>
      <c r="G324" s="12">
        <v>400</v>
      </c>
      <c r="H324" s="12" t="s">
        <v>210</v>
      </c>
      <c r="I324" s="12">
        <v>45</v>
      </c>
      <c r="J324" s="12" t="s">
        <v>2175</v>
      </c>
    </row>
    <row r="325" spans="1:10" ht="26.4" customHeight="1">
      <c r="A325" s="12" t="s">
        <v>2176</v>
      </c>
      <c r="B325" s="14" t="s">
        <v>925</v>
      </c>
      <c r="C325" s="12" t="s">
        <v>59</v>
      </c>
      <c r="D325" s="12" t="s">
        <v>2177</v>
      </c>
      <c r="E325" s="12">
        <v>42</v>
      </c>
      <c r="F325" s="16">
        <v>10000</v>
      </c>
      <c r="G325" s="12">
        <v>700</v>
      </c>
      <c r="H325" s="12" t="s">
        <v>210</v>
      </c>
      <c r="I325" s="12">
        <v>15</v>
      </c>
      <c r="J325" s="12" t="s">
        <v>2178</v>
      </c>
    </row>
    <row r="326" spans="1:10" ht="26.4" customHeight="1">
      <c r="A326" s="12" t="s">
        <v>2179</v>
      </c>
      <c r="B326" s="14" t="s">
        <v>925</v>
      </c>
      <c r="C326" s="12" t="s">
        <v>60</v>
      </c>
      <c r="D326" s="12"/>
      <c r="E326" s="12">
        <v>33</v>
      </c>
      <c r="F326" s="16">
        <v>5000</v>
      </c>
      <c r="G326" s="12">
        <v>300</v>
      </c>
      <c r="H326" s="12" t="s">
        <v>210</v>
      </c>
      <c r="I326" s="12" t="s">
        <v>210</v>
      </c>
      <c r="J326" s="12" t="s">
        <v>2180</v>
      </c>
    </row>
    <row r="327" spans="1:10" ht="26.4" customHeight="1">
      <c r="A327" s="12" t="s">
        <v>2181</v>
      </c>
      <c r="B327" s="14" t="s">
        <v>925</v>
      </c>
      <c r="C327" s="12" t="s">
        <v>59</v>
      </c>
      <c r="D327" s="12" t="s">
        <v>2182</v>
      </c>
      <c r="E327" s="12">
        <v>46.09</v>
      </c>
      <c r="F327" s="16">
        <v>15000</v>
      </c>
      <c r="G327" s="12">
        <v>700</v>
      </c>
      <c r="H327" s="16">
        <v>6000</v>
      </c>
      <c r="I327" s="12">
        <v>100</v>
      </c>
      <c r="J327" s="12" t="s">
        <v>2183</v>
      </c>
    </row>
    <row r="329" spans="1:10" ht="26.4" customHeight="1">
      <c r="A329" s="13" t="s">
        <v>0</v>
      </c>
      <c r="B329" s="13" t="s">
        <v>925</v>
      </c>
      <c r="C329" s="13" t="s">
        <v>1549</v>
      </c>
      <c r="D329" s="13" t="s">
        <v>1453</v>
      </c>
      <c r="E329" s="13" t="s">
        <v>3</v>
      </c>
      <c r="F329" s="13" t="s">
        <v>919</v>
      </c>
      <c r="G329" s="13" t="s">
        <v>1551</v>
      </c>
      <c r="H329" s="13" t="s">
        <v>921</v>
      </c>
      <c r="I329" s="13" t="s">
        <v>922</v>
      </c>
      <c r="J329" s="13" t="s">
        <v>8</v>
      </c>
    </row>
    <row r="330" spans="1:10" ht="26.4" customHeight="1">
      <c r="A330" s="12" t="s">
        <v>2184</v>
      </c>
      <c r="B330" s="14" t="s">
        <v>925</v>
      </c>
      <c r="C330" s="13" t="s">
        <v>563</v>
      </c>
      <c r="D330" s="12"/>
      <c r="E330" s="12">
        <v>23.59</v>
      </c>
      <c r="F330" s="16">
        <v>10000</v>
      </c>
      <c r="G330" s="12">
        <v>350</v>
      </c>
      <c r="H330" s="12" t="s">
        <v>210</v>
      </c>
      <c r="I330" s="12" t="s">
        <v>210</v>
      </c>
      <c r="J330" s="12" t="s">
        <v>2185</v>
      </c>
    </row>
    <row r="331" spans="1:10" ht="26.4" customHeight="1">
      <c r="A331" s="12" t="s">
        <v>2186</v>
      </c>
      <c r="B331" s="14" t="s">
        <v>925</v>
      </c>
      <c r="C331" s="13" t="s">
        <v>563</v>
      </c>
      <c r="D331" s="12"/>
      <c r="E331" s="12">
        <v>30</v>
      </c>
      <c r="F331" s="16">
        <v>8000</v>
      </c>
      <c r="G331" s="12">
        <v>520</v>
      </c>
      <c r="H331" s="12" t="s">
        <v>210</v>
      </c>
      <c r="I331" s="12" t="s">
        <v>210</v>
      </c>
      <c r="J331" s="12" t="s">
        <v>2187</v>
      </c>
    </row>
    <row r="332" spans="1:10" ht="26.4" customHeight="1">
      <c r="A332" s="12" t="s">
        <v>2188</v>
      </c>
      <c r="B332" s="14" t="s">
        <v>925</v>
      </c>
      <c r="C332" s="12" t="s">
        <v>59</v>
      </c>
      <c r="D332" s="12" t="s">
        <v>2189</v>
      </c>
      <c r="E332" s="12">
        <v>26</v>
      </c>
      <c r="F332" s="16">
        <v>5000</v>
      </c>
      <c r="G332" s="12">
        <v>350</v>
      </c>
      <c r="H332" s="16">
        <v>5000</v>
      </c>
      <c r="I332" s="12" t="s">
        <v>210</v>
      </c>
      <c r="J332" s="12" t="s">
        <v>2190</v>
      </c>
    </row>
    <row r="333" spans="1:10" ht="26.4" customHeight="1">
      <c r="A333" s="12" t="s">
        <v>2191</v>
      </c>
      <c r="B333" s="14" t="s">
        <v>925</v>
      </c>
      <c r="C333" s="12" t="s">
        <v>59</v>
      </c>
      <c r="D333" s="12" t="s">
        <v>2192</v>
      </c>
      <c r="E333" s="12">
        <v>32</v>
      </c>
      <c r="F333" s="16">
        <v>6000</v>
      </c>
      <c r="G333" s="12">
        <v>440</v>
      </c>
      <c r="H333" s="16">
        <v>20000</v>
      </c>
      <c r="I333" s="12" t="s">
        <v>210</v>
      </c>
      <c r="J333" s="12" t="s">
        <v>2193</v>
      </c>
    </row>
    <row r="334" spans="1:10" ht="26.4" customHeight="1">
      <c r="A334" s="12" t="s">
        <v>2194</v>
      </c>
      <c r="B334" s="14" t="s">
        <v>925</v>
      </c>
      <c r="C334" s="12" t="s">
        <v>59</v>
      </c>
      <c r="D334" s="12" t="s">
        <v>2195</v>
      </c>
      <c r="E334" s="12">
        <v>37</v>
      </c>
      <c r="F334" s="16">
        <v>9000</v>
      </c>
      <c r="G334" s="12">
        <v>630</v>
      </c>
      <c r="H334" s="12" t="s">
        <v>210</v>
      </c>
      <c r="I334" s="12" t="s">
        <v>210</v>
      </c>
      <c r="J334" s="12" t="s">
        <v>2196</v>
      </c>
    </row>
    <row r="335" spans="1:10" ht="26.4" customHeight="1">
      <c r="A335" s="12" t="s">
        <v>2197</v>
      </c>
      <c r="B335" s="14" t="s">
        <v>925</v>
      </c>
      <c r="C335" s="13" t="s">
        <v>563</v>
      </c>
      <c r="D335" s="12"/>
      <c r="E335" s="12">
        <v>11</v>
      </c>
      <c r="F335" s="16">
        <v>3000</v>
      </c>
      <c r="G335" s="12">
        <v>205</v>
      </c>
      <c r="H335" s="12" t="s">
        <v>210</v>
      </c>
      <c r="I335" s="12" t="s">
        <v>210</v>
      </c>
      <c r="J335" s="12"/>
    </row>
    <row r="336" spans="1:10" ht="26.4" customHeight="1">
      <c r="A336" s="12" t="s">
        <v>2198</v>
      </c>
      <c r="B336" s="14" t="s">
        <v>925</v>
      </c>
      <c r="C336" s="12" t="s">
        <v>60</v>
      </c>
      <c r="D336" s="12" t="s">
        <v>2199</v>
      </c>
      <c r="E336" s="12">
        <v>79</v>
      </c>
      <c r="F336" s="16">
        <v>10000</v>
      </c>
      <c r="G336" s="16">
        <v>1000</v>
      </c>
      <c r="H336" s="12"/>
      <c r="I336" s="12">
        <v>143</v>
      </c>
      <c r="J336" s="12" t="s">
        <v>2200</v>
      </c>
    </row>
    <row r="337" spans="1:10" ht="26.4" customHeight="1">
      <c r="A337" s="12" t="s">
        <v>1288</v>
      </c>
      <c r="B337" s="14" t="s">
        <v>925</v>
      </c>
      <c r="C337" s="12" t="s">
        <v>59</v>
      </c>
      <c r="D337" s="12" t="s">
        <v>2201</v>
      </c>
      <c r="E337" s="12">
        <v>30</v>
      </c>
      <c r="F337" s="16">
        <v>8000</v>
      </c>
      <c r="G337" s="12">
        <v>480</v>
      </c>
      <c r="H337" s="12" t="s">
        <v>210</v>
      </c>
      <c r="I337" s="12">
        <v>24</v>
      </c>
      <c r="J337" s="12" t="s">
        <v>2202</v>
      </c>
    </row>
    <row r="338" spans="1:10" ht="26.4" customHeight="1">
      <c r="A338" s="12" t="s">
        <v>2203</v>
      </c>
      <c r="B338" s="14" t="s">
        <v>925</v>
      </c>
      <c r="C338" s="12" t="s">
        <v>59</v>
      </c>
      <c r="D338" s="12" t="s">
        <v>2204</v>
      </c>
      <c r="E338" s="12">
        <v>40.11</v>
      </c>
      <c r="F338" s="16">
        <v>5000</v>
      </c>
      <c r="G338" s="12">
        <v>300</v>
      </c>
      <c r="H338" s="16">
        <v>3000</v>
      </c>
      <c r="I338" s="12">
        <v>120</v>
      </c>
      <c r="J338" s="12"/>
    </row>
    <row r="339" spans="1:10" ht="26.4" customHeight="1">
      <c r="A339" s="12" t="s">
        <v>2205</v>
      </c>
      <c r="B339" s="14" t="s">
        <v>925</v>
      </c>
      <c r="C339" s="12" t="s">
        <v>59</v>
      </c>
      <c r="D339" s="12" t="s">
        <v>2206</v>
      </c>
      <c r="E339" s="12">
        <v>58.53</v>
      </c>
      <c r="F339" s="16">
        <v>7000</v>
      </c>
      <c r="G339" s="12">
        <v>400</v>
      </c>
      <c r="H339" s="16">
        <v>8000</v>
      </c>
      <c r="I339" s="12" t="s">
        <v>210</v>
      </c>
      <c r="J339" s="12"/>
    </row>
    <row r="341" spans="1:10" ht="26.4" customHeight="1">
      <c r="A341" s="13" t="s">
        <v>0</v>
      </c>
      <c r="B341" s="13" t="s">
        <v>925</v>
      </c>
      <c r="C341" s="13" t="s">
        <v>1549</v>
      </c>
      <c r="D341" s="13" t="s">
        <v>1453</v>
      </c>
      <c r="E341" s="13" t="s">
        <v>3</v>
      </c>
      <c r="F341" s="13" t="s">
        <v>919</v>
      </c>
      <c r="G341" s="13" t="s">
        <v>1551</v>
      </c>
      <c r="H341" s="13" t="s">
        <v>921</v>
      </c>
      <c r="I341" s="13" t="s">
        <v>922</v>
      </c>
      <c r="J341" s="13" t="s">
        <v>8</v>
      </c>
    </row>
    <row r="342" spans="1:10" ht="26.4" customHeight="1">
      <c r="A342" s="12" t="s">
        <v>2184</v>
      </c>
      <c r="B342" s="14" t="s">
        <v>925</v>
      </c>
      <c r="C342" s="13" t="s">
        <v>563</v>
      </c>
      <c r="D342" s="12"/>
      <c r="E342" s="12">
        <v>23.59</v>
      </c>
      <c r="F342" s="16">
        <v>10000</v>
      </c>
      <c r="G342" s="12">
        <v>350</v>
      </c>
      <c r="H342" s="12" t="s">
        <v>210</v>
      </c>
      <c r="I342" s="12" t="s">
        <v>210</v>
      </c>
      <c r="J342" s="12" t="s">
        <v>2185</v>
      </c>
    </row>
    <row r="343" spans="1:10" ht="26.4" customHeight="1">
      <c r="A343" s="12" t="s">
        <v>2186</v>
      </c>
      <c r="B343" s="14" t="s">
        <v>925</v>
      </c>
      <c r="C343" s="13" t="s">
        <v>563</v>
      </c>
      <c r="D343" s="12"/>
      <c r="E343" s="12">
        <v>30</v>
      </c>
      <c r="F343" s="16">
        <v>8000</v>
      </c>
      <c r="G343" s="12">
        <v>520</v>
      </c>
      <c r="H343" s="12" t="s">
        <v>210</v>
      </c>
      <c r="I343" s="12" t="s">
        <v>210</v>
      </c>
      <c r="J343" s="12" t="s">
        <v>2187</v>
      </c>
    </row>
    <row r="344" spans="1:10" ht="26.4" customHeight="1">
      <c r="A344" s="12" t="s">
        <v>2188</v>
      </c>
      <c r="B344" s="14" t="s">
        <v>925</v>
      </c>
      <c r="C344" s="12" t="s">
        <v>59</v>
      </c>
      <c r="D344" s="12" t="s">
        <v>2189</v>
      </c>
      <c r="E344" s="12">
        <v>26</v>
      </c>
      <c r="F344" s="16">
        <v>5000</v>
      </c>
      <c r="G344" s="12">
        <v>350</v>
      </c>
      <c r="H344" s="16">
        <v>5000</v>
      </c>
      <c r="I344" s="12" t="s">
        <v>210</v>
      </c>
      <c r="J344" s="12" t="s">
        <v>2190</v>
      </c>
    </row>
    <row r="345" spans="1:10" ht="26.4" customHeight="1">
      <c r="A345" s="12" t="s">
        <v>2191</v>
      </c>
      <c r="B345" s="14" t="s">
        <v>925</v>
      </c>
      <c r="C345" s="12" t="s">
        <v>59</v>
      </c>
      <c r="D345" s="12" t="s">
        <v>2192</v>
      </c>
      <c r="E345" s="12">
        <v>32</v>
      </c>
      <c r="F345" s="16">
        <v>6000</v>
      </c>
      <c r="G345" s="12">
        <v>440</v>
      </c>
      <c r="H345" s="16">
        <v>20000</v>
      </c>
      <c r="I345" s="12" t="s">
        <v>210</v>
      </c>
      <c r="J345" s="12" t="s">
        <v>2193</v>
      </c>
    </row>
    <row r="346" spans="1:10" ht="26.4" customHeight="1">
      <c r="A346" s="12" t="s">
        <v>2194</v>
      </c>
      <c r="B346" s="14" t="s">
        <v>925</v>
      </c>
      <c r="C346" s="12" t="s">
        <v>59</v>
      </c>
      <c r="D346" s="12" t="s">
        <v>2195</v>
      </c>
      <c r="E346" s="12">
        <v>37</v>
      </c>
      <c r="F346" s="16">
        <v>9000</v>
      </c>
      <c r="G346" s="12">
        <v>630</v>
      </c>
      <c r="H346" s="12" t="s">
        <v>210</v>
      </c>
      <c r="I346" s="12" t="s">
        <v>210</v>
      </c>
      <c r="J346" s="12" t="s">
        <v>2196</v>
      </c>
    </row>
    <row r="347" spans="1:10" ht="26.4" customHeight="1">
      <c r="A347" s="12" t="s">
        <v>2197</v>
      </c>
      <c r="B347" s="14" t="s">
        <v>925</v>
      </c>
      <c r="C347" s="13" t="s">
        <v>563</v>
      </c>
      <c r="D347" s="12"/>
      <c r="E347" s="12">
        <v>11</v>
      </c>
      <c r="F347" s="16">
        <v>3000</v>
      </c>
      <c r="G347" s="12">
        <v>205</v>
      </c>
      <c r="H347" s="12" t="s">
        <v>210</v>
      </c>
      <c r="I347" s="12" t="s">
        <v>210</v>
      </c>
      <c r="J347" s="12"/>
    </row>
    <row r="348" spans="1:10" ht="26.4" customHeight="1">
      <c r="A348" s="12" t="s">
        <v>2198</v>
      </c>
      <c r="B348" s="14" t="s">
        <v>925</v>
      </c>
      <c r="C348" s="12" t="s">
        <v>60</v>
      </c>
      <c r="D348" s="12" t="s">
        <v>2199</v>
      </c>
      <c r="E348" s="12">
        <v>79</v>
      </c>
      <c r="F348" s="16">
        <v>10000</v>
      </c>
      <c r="G348" s="16">
        <v>1000</v>
      </c>
      <c r="H348" s="12"/>
      <c r="I348" s="12">
        <v>143</v>
      </c>
      <c r="J348" s="12" t="s">
        <v>2207</v>
      </c>
    </row>
    <row r="349" spans="1:10" ht="26.4" customHeight="1">
      <c r="A349" s="12" t="s">
        <v>1288</v>
      </c>
      <c r="B349" s="14" t="s">
        <v>925</v>
      </c>
      <c r="C349" s="12" t="s">
        <v>59</v>
      </c>
      <c r="D349" s="12" t="s">
        <v>2201</v>
      </c>
      <c r="E349" s="12">
        <v>30</v>
      </c>
      <c r="F349" s="16">
        <v>8000</v>
      </c>
      <c r="G349" s="12">
        <v>480</v>
      </c>
      <c r="H349" s="12" t="s">
        <v>210</v>
      </c>
      <c r="I349" s="12">
        <v>24</v>
      </c>
      <c r="J349" s="12" t="s">
        <v>2208</v>
      </c>
    </row>
    <row r="350" spans="1:10" ht="26.4" customHeight="1">
      <c r="A350" s="12" t="s">
        <v>2209</v>
      </c>
      <c r="B350" s="14" t="s">
        <v>925</v>
      </c>
      <c r="C350" s="13" t="s">
        <v>563</v>
      </c>
      <c r="D350" s="12"/>
      <c r="E350" s="12">
        <v>24</v>
      </c>
      <c r="F350" s="16">
        <v>15000</v>
      </c>
      <c r="G350" s="12">
        <v>900</v>
      </c>
      <c r="H350" s="12" t="s">
        <v>210</v>
      </c>
      <c r="I350" s="12" t="s">
        <v>210</v>
      </c>
      <c r="J350" s="12" t="s">
        <v>2210</v>
      </c>
    </row>
    <row r="351" spans="1:10" ht="26.4" customHeight="1">
      <c r="A351" s="12" t="s">
        <v>2211</v>
      </c>
      <c r="B351" s="14" t="s">
        <v>925</v>
      </c>
      <c r="C351" s="13" t="s">
        <v>563</v>
      </c>
      <c r="D351" s="12"/>
      <c r="E351" s="12">
        <v>27</v>
      </c>
      <c r="F351" s="16">
        <v>5000</v>
      </c>
      <c r="G351" s="12">
        <v>350</v>
      </c>
      <c r="H351" s="12" t="s">
        <v>210</v>
      </c>
      <c r="I351" s="12" t="s">
        <v>210</v>
      </c>
      <c r="J351" s="12" t="s">
        <v>2212</v>
      </c>
    </row>
    <row r="352" spans="1:10" ht="26.4" customHeight="1">
      <c r="A352" s="12" t="s">
        <v>2213</v>
      </c>
      <c r="B352" s="14" t="s">
        <v>925</v>
      </c>
      <c r="C352" s="13" t="s">
        <v>563</v>
      </c>
      <c r="D352" s="12"/>
      <c r="E352" s="12">
        <v>31.58</v>
      </c>
      <c r="F352" s="16">
        <v>6000</v>
      </c>
      <c r="G352" s="12">
        <v>360</v>
      </c>
      <c r="H352" s="12" t="s">
        <v>210</v>
      </c>
      <c r="I352" s="12" t="s">
        <v>210</v>
      </c>
      <c r="J352" s="12" t="s">
        <v>2214</v>
      </c>
    </row>
    <row r="353" spans="1:10" ht="26.4" customHeight="1">
      <c r="A353" s="12" t="s">
        <v>1256</v>
      </c>
      <c r="B353" s="14" t="s">
        <v>925</v>
      </c>
      <c r="C353" s="12" t="s">
        <v>59</v>
      </c>
      <c r="D353" s="12" t="s">
        <v>2215</v>
      </c>
      <c r="E353" s="12">
        <v>42</v>
      </c>
      <c r="F353" s="16">
        <v>5000</v>
      </c>
      <c r="G353" s="12">
        <v>400</v>
      </c>
      <c r="H353" s="16">
        <v>4000</v>
      </c>
      <c r="I353" s="12"/>
      <c r="J353" s="12"/>
    </row>
    <row r="354" spans="1:10" ht="26.4" customHeight="1">
      <c r="A354" s="12" t="s">
        <v>2216</v>
      </c>
      <c r="B354" s="14" t="s">
        <v>925</v>
      </c>
      <c r="C354" s="13" t="s">
        <v>563</v>
      </c>
      <c r="D354" s="12"/>
      <c r="E354" s="12">
        <v>22</v>
      </c>
      <c r="F354" s="16">
        <v>10000</v>
      </c>
      <c r="G354" s="12">
        <v>900</v>
      </c>
      <c r="H354" s="12" t="s">
        <v>210</v>
      </c>
      <c r="I354" s="12">
        <v>100</v>
      </c>
      <c r="J354" s="12" t="s">
        <v>2217</v>
      </c>
    </row>
    <row r="355" spans="1:10" ht="26.4" customHeight="1">
      <c r="A355" s="12" t="s">
        <v>2218</v>
      </c>
      <c r="B355" s="14" t="s">
        <v>925</v>
      </c>
      <c r="C355" s="13" t="s">
        <v>563</v>
      </c>
      <c r="D355" s="12"/>
      <c r="E355" s="12">
        <v>22</v>
      </c>
      <c r="F355" s="16">
        <v>5000</v>
      </c>
      <c r="G355" s="12">
        <v>450</v>
      </c>
      <c r="H355" s="12" t="s">
        <v>210</v>
      </c>
      <c r="I355" s="12" t="s">
        <v>210</v>
      </c>
      <c r="J355" s="12" t="s">
        <v>2219</v>
      </c>
    </row>
    <row r="356" spans="1:10" ht="26.4" customHeight="1">
      <c r="A356" s="12" t="s">
        <v>2220</v>
      </c>
      <c r="B356" s="14" t="s">
        <v>925</v>
      </c>
      <c r="C356" s="13" t="s">
        <v>563</v>
      </c>
      <c r="D356" s="12"/>
      <c r="E356" s="12">
        <v>12</v>
      </c>
      <c r="F356" s="16">
        <v>3000</v>
      </c>
      <c r="G356" s="12">
        <v>230</v>
      </c>
      <c r="H356" s="12" t="s">
        <v>210</v>
      </c>
      <c r="I356" s="12" t="s">
        <v>210</v>
      </c>
      <c r="J356" s="12"/>
    </row>
    <row r="357" spans="1:10" ht="26.4" customHeight="1">
      <c r="A357" s="12" t="s">
        <v>2221</v>
      </c>
      <c r="B357" s="14" t="s">
        <v>925</v>
      </c>
      <c r="C357" s="12" t="s">
        <v>59</v>
      </c>
      <c r="D357" s="12" t="s">
        <v>2222</v>
      </c>
      <c r="E357" s="12">
        <v>15</v>
      </c>
      <c r="F357" s="16">
        <v>10000</v>
      </c>
      <c r="G357" s="12">
        <v>882</v>
      </c>
      <c r="H357" s="12" t="s">
        <v>210</v>
      </c>
      <c r="I357" s="12" t="s">
        <v>210</v>
      </c>
      <c r="J357" s="12" t="s">
        <v>2223</v>
      </c>
    </row>
    <row r="358" spans="1:10" ht="26.4" customHeight="1">
      <c r="A358" s="12" t="s">
        <v>2224</v>
      </c>
      <c r="B358" s="14" t="s">
        <v>925</v>
      </c>
      <c r="C358" s="12" t="s">
        <v>59</v>
      </c>
      <c r="D358" s="12" t="s">
        <v>2225</v>
      </c>
      <c r="E358" s="12">
        <v>36</v>
      </c>
      <c r="F358" s="16">
        <v>10000</v>
      </c>
      <c r="G358" s="12">
        <v>660</v>
      </c>
      <c r="H358" s="12" t="s">
        <v>210</v>
      </c>
      <c r="I358" s="12" t="s">
        <v>210</v>
      </c>
      <c r="J358" s="12" t="s">
        <v>2226</v>
      </c>
    </row>
    <row r="359" spans="1:10" ht="26.4" customHeight="1">
      <c r="A359" s="12" t="s">
        <v>2227</v>
      </c>
      <c r="B359" s="14" t="s">
        <v>925</v>
      </c>
      <c r="C359" s="12" t="s">
        <v>2228</v>
      </c>
      <c r="D359" s="12"/>
      <c r="E359" s="12">
        <v>44</v>
      </c>
      <c r="F359" s="16">
        <v>20000</v>
      </c>
      <c r="G359" s="12">
        <v>950</v>
      </c>
      <c r="H359" s="16">
        <v>12000</v>
      </c>
      <c r="I359" s="12">
        <v>101</v>
      </c>
      <c r="J359" s="12" t="s">
        <v>2229</v>
      </c>
    </row>
    <row r="360" spans="1:10" ht="26.4" customHeight="1">
      <c r="A360" s="12" t="s">
        <v>2168</v>
      </c>
      <c r="B360" s="14" t="s">
        <v>925</v>
      </c>
      <c r="C360" s="12" t="s">
        <v>59</v>
      </c>
      <c r="D360" s="12" t="s">
        <v>2169</v>
      </c>
      <c r="E360" s="12">
        <v>34</v>
      </c>
      <c r="F360" s="16">
        <v>10000</v>
      </c>
      <c r="G360" s="12">
        <v>650</v>
      </c>
      <c r="H360" s="16">
        <v>6000</v>
      </c>
      <c r="I360" s="12">
        <v>0</v>
      </c>
      <c r="J360" s="12" t="s">
        <v>2230</v>
      </c>
    </row>
    <row r="361" spans="1:10" ht="26.4" customHeight="1">
      <c r="A361" s="12" t="s">
        <v>2220</v>
      </c>
      <c r="B361" s="14" t="s">
        <v>925</v>
      </c>
      <c r="C361" s="13" t="s">
        <v>563</v>
      </c>
      <c r="D361" s="12"/>
      <c r="E361" s="12">
        <v>47</v>
      </c>
      <c r="F361" s="16">
        <v>3000</v>
      </c>
      <c r="G361" s="12">
        <v>250</v>
      </c>
      <c r="H361" s="12" t="s">
        <v>210</v>
      </c>
      <c r="I361" s="12"/>
      <c r="J361" s="12" t="s">
        <v>2231</v>
      </c>
    </row>
    <row r="362" spans="1:10" ht="26.4" customHeight="1">
      <c r="A362" s="12" t="s">
        <v>2232</v>
      </c>
      <c r="B362" s="14" t="s">
        <v>925</v>
      </c>
      <c r="C362" s="12" t="s">
        <v>59</v>
      </c>
      <c r="D362" s="12" t="s">
        <v>2233</v>
      </c>
      <c r="E362" s="12">
        <v>45</v>
      </c>
      <c r="F362" s="16">
        <v>6000</v>
      </c>
      <c r="G362" s="12">
        <v>500</v>
      </c>
      <c r="H362" s="12" t="s">
        <v>210</v>
      </c>
      <c r="I362" s="12">
        <v>80</v>
      </c>
      <c r="J362" s="12" t="s">
        <v>2234</v>
      </c>
    </row>
    <row r="363" spans="1:10" ht="26.4" customHeight="1">
      <c r="A363" s="12" t="s">
        <v>2235</v>
      </c>
      <c r="B363" s="14" t="s">
        <v>925</v>
      </c>
      <c r="C363" s="12" t="s">
        <v>59</v>
      </c>
      <c r="D363" s="12" t="s">
        <v>2236</v>
      </c>
      <c r="E363" s="12">
        <v>24</v>
      </c>
      <c r="F363" s="16">
        <v>3000</v>
      </c>
      <c r="G363" s="12">
        <v>250</v>
      </c>
      <c r="H363" s="12" t="s">
        <v>210</v>
      </c>
      <c r="I363" s="12" t="s">
        <v>210</v>
      </c>
      <c r="J363" s="12"/>
    </row>
    <row r="364" spans="1:10" ht="26.4" customHeight="1">
      <c r="A364" s="12" t="s">
        <v>2235</v>
      </c>
      <c r="B364" s="14" t="s">
        <v>925</v>
      </c>
      <c r="C364" s="13" t="s">
        <v>563</v>
      </c>
      <c r="D364" s="12"/>
      <c r="E364" s="12">
        <v>19</v>
      </c>
      <c r="F364" s="16">
        <v>3000</v>
      </c>
      <c r="G364" s="12">
        <v>180</v>
      </c>
      <c r="H364" s="12" t="s">
        <v>210</v>
      </c>
      <c r="I364" s="12" t="s">
        <v>210</v>
      </c>
      <c r="J364" s="12"/>
    </row>
    <row r="365" spans="1:10" ht="26.4" customHeight="1">
      <c r="A365" s="12" t="s">
        <v>2237</v>
      </c>
      <c r="B365" s="14" t="s">
        <v>925</v>
      </c>
      <c r="C365" s="13" t="s">
        <v>563</v>
      </c>
      <c r="D365" s="12"/>
      <c r="E365" s="12">
        <v>31</v>
      </c>
      <c r="F365" s="16">
        <v>5000</v>
      </c>
      <c r="G365" s="12">
        <v>400</v>
      </c>
      <c r="H365" s="12" t="s">
        <v>210</v>
      </c>
      <c r="I365" s="12">
        <v>0</v>
      </c>
      <c r="J365" s="12"/>
    </row>
    <row r="366" spans="1:10" ht="26.4" customHeight="1">
      <c r="A366" s="12" t="s">
        <v>2238</v>
      </c>
      <c r="B366" s="14" t="s">
        <v>925</v>
      </c>
      <c r="C366" s="13" t="s">
        <v>563</v>
      </c>
      <c r="D366" s="12"/>
      <c r="E366" s="12">
        <v>12.5</v>
      </c>
      <c r="F366" s="16">
        <v>3000</v>
      </c>
      <c r="G366" s="12">
        <v>170</v>
      </c>
      <c r="H366" s="12" t="s">
        <v>210</v>
      </c>
      <c r="I366" s="12" t="s">
        <v>210</v>
      </c>
      <c r="J366" s="12"/>
    </row>
    <row r="367" spans="1:10" ht="26.4" customHeight="1">
      <c r="A367" s="12" t="s">
        <v>2238</v>
      </c>
      <c r="B367" s="14" t="s">
        <v>925</v>
      </c>
      <c r="C367" s="13" t="s">
        <v>563</v>
      </c>
      <c r="D367" s="12"/>
      <c r="E367" s="12">
        <v>12.2</v>
      </c>
      <c r="F367" s="16">
        <v>3000</v>
      </c>
      <c r="G367" s="12">
        <v>150</v>
      </c>
      <c r="H367" s="12" t="s">
        <v>210</v>
      </c>
      <c r="I367" s="12" t="s">
        <v>210</v>
      </c>
      <c r="J367" s="12"/>
    </row>
    <row r="368" spans="1:10" ht="26.4" customHeight="1">
      <c r="A368" s="12" t="s">
        <v>2239</v>
      </c>
      <c r="B368" s="14" t="s">
        <v>925</v>
      </c>
      <c r="C368" s="12" t="s">
        <v>59</v>
      </c>
      <c r="D368" s="12" t="s">
        <v>2240</v>
      </c>
      <c r="E368" s="12">
        <v>25</v>
      </c>
      <c r="F368" s="16">
        <v>10000</v>
      </c>
      <c r="G368" s="12">
        <v>580</v>
      </c>
      <c r="H368" s="12" t="s">
        <v>210</v>
      </c>
      <c r="I368" s="12" t="s">
        <v>210</v>
      </c>
      <c r="J368" s="12" t="s">
        <v>2241</v>
      </c>
    </row>
    <row r="369" spans="1:10" ht="26.4" customHeight="1">
      <c r="A369" s="12" t="s">
        <v>984</v>
      </c>
      <c r="B369" s="14" t="s">
        <v>925</v>
      </c>
      <c r="C369" s="12" t="s">
        <v>59</v>
      </c>
      <c r="D369" s="12" t="s">
        <v>2242</v>
      </c>
      <c r="E369" s="12">
        <v>21</v>
      </c>
      <c r="F369" s="16">
        <v>5000</v>
      </c>
      <c r="G369" s="12">
        <v>300</v>
      </c>
      <c r="H369" s="16">
        <v>2000</v>
      </c>
      <c r="I369" s="12" t="s">
        <v>210</v>
      </c>
      <c r="J369" s="12"/>
    </row>
    <row r="370" spans="1:10" ht="26.4" customHeight="1">
      <c r="A370" s="12" t="s">
        <v>2243</v>
      </c>
      <c r="B370" s="14" t="s">
        <v>925</v>
      </c>
      <c r="C370" s="12" t="s">
        <v>110</v>
      </c>
      <c r="D370" s="12" t="s">
        <v>2244</v>
      </c>
      <c r="E370" s="12">
        <v>28</v>
      </c>
      <c r="F370" s="16">
        <v>4000</v>
      </c>
      <c r="G370" s="12">
        <v>400</v>
      </c>
      <c r="H370" s="12" t="s">
        <v>210</v>
      </c>
      <c r="I370" s="12" t="s">
        <v>210</v>
      </c>
      <c r="J370" s="12" t="s">
        <v>2245</v>
      </c>
    </row>
    <row r="371" spans="1:10" ht="26.4" customHeight="1">
      <c r="A371" s="12" t="s">
        <v>2246</v>
      </c>
      <c r="B371" s="14" t="s">
        <v>925</v>
      </c>
      <c r="C371" s="12" t="s">
        <v>59</v>
      </c>
      <c r="D371" s="12" t="s">
        <v>2247</v>
      </c>
      <c r="E371" s="12">
        <v>35</v>
      </c>
      <c r="F371" s="16">
        <v>4000</v>
      </c>
      <c r="G371" s="12">
        <v>280</v>
      </c>
      <c r="H371" s="16">
        <v>6000</v>
      </c>
      <c r="I371" s="12">
        <v>90</v>
      </c>
      <c r="J371" s="12" t="s">
        <v>2248</v>
      </c>
    </row>
    <row r="372" spans="1:10" ht="26.4" customHeight="1">
      <c r="A372" s="12" t="s">
        <v>2249</v>
      </c>
      <c r="B372" s="14" t="s">
        <v>925</v>
      </c>
      <c r="C372" s="12" t="s">
        <v>60</v>
      </c>
      <c r="D372" s="12" t="s">
        <v>2250</v>
      </c>
      <c r="E372" s="12">
        <v>57</v>
      </c>
      <c r="F372" s="16">
        <v>15000</v>
      </c>
      <c r="G372" s="12">
        <v>830</v>
      </c>
      <c r="H372" s="16">
        <v>15000</v>
      </c>
      <c r="I372" s="12">
        <v>90</v>
      </c>
      <c r="J372" s="12" t="s">
        <v>2251</v>
      </c>
    </row>
    <row r="373" spans="1:10" ht="26.4" customHeight="1">
      <c r="A373" s="12" t="s">
        <v>2252</v>
      </c>
      <c r="B373" s="14" t="s">
        <v>925</v>
      </c>
      <c r="C373" s="12" t="s">
        <v>2253</v>
      </c>
      <c r="D373" s="12" t="s">
        <v>2254</v>
      </c>
      <c r="E373" s="12">
        <v>80</v>
      </c>
      <c r="F373" s="16">
        <v>10000</v>
      </c>
      <c r="G373" s="12">
        <v>700</v>
      </c>
      <c r="H373" s="16">
        <v>20000</v>
      </c>
      <c r="I373" s="12">
        <v>150</v>
      </c>
      <c r="J373" s="12" t="s">
        <v>2255</v>
      </c>
    </row>
    <row r="374" spans="1:10" ht="26.4" customHeight="1">
      <c r="A374" s="12" t="s">
        <v>2256</v>
      </c>
      <c r="B374" s="14" t="s">
        <v>925</v>
      </c>
      <c r="C374" s="13" t="s">
        <v>563</v>
      </c>
      <c r="D374" s="12"/>
      <c r="E374" s="12">
        <v>37</v>
      </c>
      <c r="F374" s="16">
        <v>20000</v>
      </c>
      <c r="G374" s="12">
        <v>600</v>
      </c>
      <c r="H374" s="12" t="s">
        <v>210</v>
      </c>
      <c r="I374" s="12">
        <v>116</v>
      </c>
      <c r="J374" s="12" t="s">
        <v>2257</v>
      </c>
    </row>
    <row r="375" spans="1:10" ht="26.4" customHeight="1">
      <c r="A375" s="12" t="s">
        <v>2258</v>
      </c>
      <c r="B375" s="14" t="s">
        <v>925</v>
      </c>
      <c r="C375" s="12" t="s">
        <v>110</v>
      </c>
      <c r="D375" s="12" t="s">
        <v>2259</v>
      </c>
      <c r="E375" s="12">
        <v>40</v>
      </c>
      <c r="F375" s="16">
        <v>10000</v>
      </c>
      <c r="G375" s="12">
        <v>700</v>
      </c>
      <c r="H375" s="16">
        <v>10000</v>
      </c>
      <c r="I375" s="12" t="s">
        <v>210</v>
      </c>
      <c r="J375" s="12" t="s">
        <v>2260</v>
      </c>
    </row>
    <row r="376" spans="1:10" ht="26.4" customHeight="1">
      <c r="A376" s="12" t="s">
        <v>2261</v>
      </c>
      <c r="B376" s="14" t="s">
        <v>925</v>
      </c>
      <c r="C376" s="12" t="s">
        <v>59</v>
      </c>
      <c r="D376" s="12" t="s">
        <v>2262</v>
      </c>
      <c r="E376" s="12">
        <v>40</v>
      </c>
      <c r="F376" s="16">
        <v>10000</v>
      </c>
      <c r="G376" s="12">
        <v>800</v>
      </c>
      <c r="H376" s="16">
        <v>20000</v>
      </c>
      <c r="I376" s="12" t="s">
        <v>210</v>
      </c>
      <c r="J376" s="12" t="s">
        <v>2263</v>
      </c>
    </row>
    <row r="377" spans="1:10" ht="26.4" customHeight="1">
      <c r="A377" s="12" t="s">
        <v>2264</v>
      </c>
      <c r="B377" s="14" t="s">
        <v>925</v>
      </c>
      <c r="C377" s="12" t="s">
        <v>59</v>
      </c>
      <c r="D377" s="12" t="s">
        <v>2265</v>
      </c>
      <c r="E377" s="12">
        <v>45</v>
      </c>
      <c r="F377" s="16">
        <v>10000</v>
      </c>
      <c r="G377" s="12">
        <v>600</v>
      </c>
      <c r="H377" s="16">
        <v>21000</v>
      </c>
      <c r="I377" s="12" t="s">
        <v>210</v>
      </c>
      <c r="J377" s="12" t="s">
        <v>2266</v>
      </c>
    </row>
    <row r="378" spans="1:10" ht="26.4" customHeight="1">
      <c r="A378" s="12" t="s">
        <v>2220</v>
      </c>
      <c r="B378" s="14" t="s">
        <v>925</v>
      </c>
      <c r="C378" s="13" t="s">
        <v>2267</v>
      </c>
      <c r="D378" s="12"/>
      <c r="E378" s="12">
        <v>48</v>
      </c>
      <c r="F378" s="16">
        <v>9000</v>
      </c>
      <c r="G378" s="12">
        <v>720</v>
      </c>
      <c r="H378" s="12" t="s">
        <v>210</v>
      </c>
      <c r="I378" s="12" t="s">
        <v>210</v>
      </c>
      <c r="J378" s="12"/>
    </row>
    <row r="379" spans="1:10" ht="26.4" customHeight="1">
      <c r="A379" s="12" t="s">
        <v>2268</v>
      </c>
      <c r="B379" s="14" t="s">
        <v>925</v>
      </c>
      <c r="C379" s="13" t="s">
        <v>2269</v>
      </c>
      <c r="D379" s="12"/>
      <c r="E379" s="12">
        <v>35</v>
      </c>
      <c r="F379" s="16">
        <v>5000</v>
      </c>
      <c r="G379" s="12">
        <v>200</v>
      </c>
      <c r="H379" s="12" t="s">
        <v>210</v>
      </c>
      <c r="I379" s="12" t="s">
        <v>210</v>
      </c>
      <c r="J379" s="12" t="s">
        <v>2270</v>
      </c>
    </row>
    <row r="381" spans="1:10" ht="26.4" customHeight="1">
      <c r="A381" s="13" t="s">
        <v>0</v>
      </c>
      <c r="B381" s="13" t="s">
        <v>925</v>
      </c>
      <c r="C381" s="13" t="s">
        <v>1549</v>
      </c>
      <c r="D381" s="13" t="s">
        <v>1453</v>
      </c>
      <c r="E381" s="13" t="s">
        <v>3</v>
      </c>
      <c r="F381" s="13" t="s">
        <v>919</v>
      </c>
      <c r="G381" s="13" t="s">
        <v>1551</v>
      </c>
      <c r="H381" s="13" t="s">
        <v>921</v>
      </c>
      <c r="I381" s="13" t="s">
        <v>922</v>
      </c>
      <c r="J381" s="13" t="s">
        <v>8</v>
      </c>
    </row>
    <row r="382" spans="1:10" ht="26.4" customHeight="1">
      <c r="A382" s="12" t="s">
        <v>2271</v>
      </c>
      <c r="B382" s="14" t="s">
        <v>925</v>
      </c>
      <c r="C382" s="12" t="s">
        <v>59</v>
      </c>
      <c r="D382" s="12" t="s">
        <v>2272</v>
      </c>
      <c r="E382" s="12">
        <v>34</v>
      </c>
      <c r="F382" s="16">
        <v>25000</v>
      </c>
      <c r="G382" s="16">
        <v>1250</v>
      </c>
      <c r="H382" s="16">
        <v>40000</v>
      </c>
      <c r="I382" s="12" t="s">
        <v>210</v>
      </c>
      <c r="J382" s="12" t="s">
        <v>2273</v>
      </c>
    </row>
    <row r="383" spans="1:10" ht="26.4" customHeight="1">
      <c r="A383" s="12" t="s">
        <v>1747</v>
      </c>
      <c r="B383" s="14" t="s">
        <v>925</v>
      </c>
      <c r="C383" s="12" t="s">
        <v>59</v>
      </c>
      <c r="D383" s="12" t="s">
        <v>1748</v>
      </c>
      <c r="E383" s="12">
        <v>30</v>
      </c>
      <c r="F383" s="16">
        <v>18000</v>
      </c>
      <c r="G383" s="16">
        <v>1500</v>
      </c>
      <c r="H383" s="16">
        <v>4000</v>
      </c>
      <c r="I383" s="12">
        <v>80</v>
      </c>
      <c r="J383" s="12" t="s">
        <v>2274</v>
      </c>
    </row>
    <row r="384" spans="1:10" ht="26.4" customHeight="1">
      <c r="A384" s="12" t="s">
        <v>2275</v>
      </c>
      <c r="B384" s="14" t="s">
        <v>925</v>
      </c>
      <c r="C384" s="12" t="s">
        <v>59</v>
      </c>
      <c r="D384" s="12" t="s">
        <v>2276</v>
      </c>
      <c r="E384" s="12">
        <v>30</v>
      </c>
      <c r="F384" s="16">
        <v>10000</v>
      </c>
      <c r="G384" s="12">
        <v>700</v>
      </c>
      <c r="H384" s="12" t="s">
        <v>210</v>
      </c>
      <c r="I384" s="12" t="s">
        <v>210</v>
      </c>
      <c r="J384" s="12" t="s">
        <v>2277</v>
      </c>
    </row>
    <row r="385" spans="1:10" ht="26.4" customHeight="1">
      <c r="A385" s="12" t="s">
        <v>2278</v>
      </c>
      <c r="B385" s="14" t="s">
        <v>925</v>
      </c>
      <c r="C385" s="13" t="s">
        <v>563</v>
      </c>
      <c r="D385" s="12"/>
      <c r="E385" s="12">
        <v>33</v>
      </c>
      <c r="F385" s="16">
        <v>5000</v>
      </c>
      <c r="G385" s="12">
        <v>500</v>
      </c>
      <c r="H385" s="12" t="s">
        <v>210</v>
      </c>
      <c r="I385" s="12" t="s">
        <v>210</v>
      </c>
      <c r="J385" s="12" t="s">
        <v>2279</v>
      </c>
    </row>
    <row r="386" spans="1:10" ht="26.4" customHeight="1">
      <c r="A386" s="12" t="s">
        <v>2280</v>
      </c>
      <c r="B386" s="14" t="s">
        <v>925</v>
      </c>
      <c r="C386" s="12" t="s">
        <v>59</v>
      </c>
      <c r="D386" s="12" t="s">
        <v>2281</v>
      </c>
      <c r="E386" s="12">
        <v>21</v>
      </c>
      <c r="F386" s="16">
        <v>15000</v>
      </c>
      <c r="G386" s="12">
        <v>940</v>
      </c>
      <c r="H386" s="16">
        <v>5000</v>
      </c>
      <c r="I386" s="12">
        <v>40</v>
      </c>
      <c r="J386" s="12"/>
    </row>
    <row r="387" spans="1:10" ht="26.4" customHeight="1">
      <c r="A387" s="12" t="s">
        <v>2282</v>
      </c>
      <c r="B387" s="14" t="s">
        <v>925</v>
      </c>
      <c r="C387" s="12" t="s">
        <v>59</v>
      </c>
      <c r="D387" s="12" t="s">
        <v>2283</v>
      </c>
      <c r="E387" s="12">
        <v>30</v>
      </c>
      <c r="F387" s="16">
        <v>15000</v>
      </c>
      <c r="G387" s="16">
        <v>1250</v>
      </c>
      <c r="H387" s="16">
        <v>18000</v>
      </c>
      <c r="I387" s="12">
        <v>10</v>
      </c>
      <c r="J387" s="12"/>
    </row>
    <row r="388" spans="1:10" ht="26.4" customHeight="1">
      <c r="A388" s="12" t="s">
        <v>2284</v>
      </c>
      <c r="B388" s="14" t="s">
        <v>925</v>
      </c>
      <c r="C388" s="12" t="s">
        <v>59</v>
      </c>
      <c r="D388" s="12" t="s">
        <v>2285</v>
      </c>
      <c r="E388" s="12">
        <v>63</v>
      </c>
      <c r="F388" s="16">
        <v>10000</v>
      </c>
      <c r="G388" s="12">
        <v>700</v>
      </c>
      <c r="H388" s="12"/>
      <c r="I388" s="12">
        <v>63</v>
      </c>
      <c r="J388" s="12" t="s">
        <v>2286</v>
      </c>
    </row>
    <row r="389" spans="1:10" ht="26.4" customHeight="1">
      <c r="A389" s="12" t="s">
        <v>2287</v>
      </c>
      <c r="B389" s="14" t="s">
        <v>925</v>
      </c>
      <c r="C389" s="12" t="s">
        <v>59</v>
      </c>
      <c r="D389" s="12" t="s">
        <v>2288</v>
      </c>
      <c r="E389" s="12">
        <v>70</v>
      </c>
      <c r="F389" s="16">
        <v>20000</v>
      </c>
      <c r="G389" s="16">
        <v>1600</v>
      </c>
      <c r="H389" s="16">
        <v>30000</v>
      </c>
      <c r="I389" s="12">
        <v>0</v>
      </c>
      <c r="J389" s="12" t="s">
        <v>2289</v>
      </c>
    </row>
    <row r="390" spans="1:10" ht="40.200000000000003" customHeight="1">
      <c r="A390" s="12" t="s">
        <v>2290</v>
      </c>
      <c r="B390" s="14" t="s">
        <v>925</v>
      </c>
      <c r="C390" s="12" t="s">
        <v>2291</v>
      </c>
      <c r="D390" s="12" t="s">
        <v>2292</v>
      </c>
      <c r="E390" s="12">
        <v>120</v>
      </c>
      <c r="F390" s="12"/>
      <c r="G390" s="12"/>
      <c r="H390" s="16">
        <v>10000</v>
      </c>
      <c r="I390" s="12"/>
      <c r="J390" s="13" t="s">
        <v>2293</v>
      </c>
    </row>
    <row r="391" spans="1:10" ht="26.4" customHeight="1">
      <c r="A391" s="12" t="s">
        <v>2294</v>
      </c>
      <c r="B391" s="14" t="s">
        <v>925</v>
      </c>
      <c r="C391" s="12" t="s">
        <v>59</v>
      </c>
      <c r="D391" s="12" t="s">
        <v>2295</v>
      </c>
      <c r="E391" s="12">
        <v>32.5</v>
      </c>
      <c r="F391" s="16">
        <v>5000</v>
      </c>
      <c r="G391" s="12">
        <v>270</v>
      </c>
      <c r="H391" s="16">
        <v>3000</v>
      </c>
      <c r="I391" s="12"/>
      <c r="J391" s="12" t="s">
        <v>2296</v>
      </c>
    </row>
    <row r="392" spans="1:10" ht="26.4" customHeight="1">
      <c r="A392" s="12" t="s">
        <v>2297</v>
      </c>
      <c r="B392" s="14" t="s">
        <v>925</v>
      </c>
      <c r="C392" s="12" t="s">
        <v>59</v>
      </c>
      <c r="D392" s="12" t="s">
        <v>2298</v>
      </c>
      <c r="E392" s="12">
        <v>38</v>
      </c>
      <c r="F392" s="16">
        <v>10000</v>
      </c>
      <c r="G392" s="12">
        <v>730</v>
      </c>
      <c r="H392" s="16">
        <v>25000</v>
      </c>
      <c r="I392" s="12" t="s">
        <v>210</v>
      </c>
      <c r="J392" s="12" t="s">
        <v>2299</v>
      </c>
    </row>
    <row r="393" spans="1:10" ht="26.4" customHeight="1">
      <c r="A393" s="12" t="s">
        <v>2300</v>
      </c>
      <c r="B393" s="14" t="s">
        <v>925</v>
      </c>
      <c r="C393" s="12" t="s">
        <v>59</v>
      </c>
      <c r="D393" s="12" t="s">
        <v>2301</v>
      </c>
      <c r="E393" s="12">
        <v>30</v>
      </c>
      <c r="F393" s="16">
        <v>3500</v>
      </c>
      <c r="G393" s="12">
        <v>336</v>
      </c>
      <c r="H393" s="16">
        <v>23000</v>
      </c>
      <c r="I393" s="12">
        <v>15</v>
      </c>
      <c r="J393" s="12" t="s">
        <v>2302</v>
      </c>
    </row>
    <row r="394" spans="1:10" ht="26.4" customHeight="1">
      <c r="A394" s="12" t="s">
        <v>2303</v>
      </c>
      <c r="B394" s="14" t="s">
        <v>925</v>
      </c>
      <c r="C394" s="12" t="s">
        <v>59</v>
      </c>
      <c r="D394" s="12" t="s">
        <v>2304</v>
      </c>
      <c r="E394" s="12">
        <v>20</v>
      </c>
      <c r="F394" s="16">
        <v>5000</v>
      </c>
      <c r="G394" s="12">
        <v>400</v>
      </c>
      <c r="H394" s="16">
        <v>1000</v>
      </c>
      <c r="I394" s="12" t="s">
        <v>210</v>
      </c>
      <c r="J394" s="12"/>
    </row>
    <row r="395" spans="1:10" ht="26.4" customHeight="1">
      <c r="A395" s="12" t="s">
        <v>2305</v>
      </c>
      <c r="B395" s="14" t="s">
        <v>925</v>
      </c>
      <c r="C395" s="12" t="s">
        <v>59</v>
      </c>
      <c r="D395" s="12" t="s">
        <v>2306</v>
      </c>
      <c r="E395" s="12">
        <v>33</v>
      </c>
      <c r="F395" s="16">
        <v>15000</v>
      </c>
      <c r="G395" s="12">
        <v>700</v>
      </c>
      <c r="H395" s="16">
        <v>17000</v>
      </c>
      <c r="I395" s="12" t="s">
        <v>210</v>
      </c>
      <c r="J395" s="12" t="s">
        <v>2307</v>
      </c>
    </row>
    <row r="396" spans="1:10" ht="26.4" customHeight="1">
      <c r="A396" s="12" t="s">
        <v>2308</v>
      </c>
      <c r="B396" s="14" t="s">
        <v>925</v>
      </c>
      <c r="C396" s="13" t="s">
        <v>563</v>
      </c>
      <c r="D396" s="12"/>
      <c r="E396" s="12">
        <v>6</v>
      </c>
      <c r="F396" s="16">
        <v>4000</v>
      </c>
      <c r="G396" s="12">
        <v>250</v>
      </c>
      <c r="H396" s="12" t="s">
        <v>210</v>
      </c>
      <c r="I396" s="12" t="s">
        <v>210</v>
      </c>
      <c r="J396" s="12" t="s">
        <v>2309</v>
      </c>
    </row>
    <row r="397" spans="1:10" ht="26.4" customHeight="1">
      <c r="A397" s="12" t="s">
        <v>2310</v>
      </c>
      <c r="B397" s="14" t="s">
        <v>925</v>
      </c>
      <c r="C397" s="12" t="s">
        <v>59</v>
      </c>
      <c r="D397" s="12" t="s">
        <v>2311</v>
      </c>
      <c r="E397" s="12">
        <v>30</v>
      </c>
      <c r="F397" s="16">
        <v>8000</v>
      </c>
      <c r="G397" s="12">
        <v>570</v>
      </c>
      <c r="H397" s="16">
        <v>20000</v>
      </c>
      <c r="I397" s="12" t="s">
        <v>210</v>
      </c>
      <c r="J397" s="12" t="s">
        <v>2312</v>
      </c>
    </row>
    <row r="398" spans="1:10" ht="26.4" customHeight="1">
      <c r="A398" s="12" t="s">
        <v>2313</v>
      </c>
      <c r="B398" s="14" t="s">
        <v>925</v>
      </c>
      <c r="C398" s="12" t="s">
        <v>59</v>
      </c>
      <c r="D398" s="12" t="s">
        <v>2314</v>
      </c>
      <c r="E398" s="12">
        <v>15</v>
      </c>
      <c r="F398" s="16">
        <v>10000</v>
      </c>
      <c r="G398" s="12">
        <v>400</v>
      </c>
      <c r="H398" s="16">
        <v>4000</v>
      </c>
      <c r="I398" s="12" t="s">
        <v>210</v>
      </c>
      <c r="J398" s="12" t="s">
        <v>2315</v>
      </c>
    </row>
    <row r="399" spans="1:10" ht="26.4" customHeight="1">
      <c r="A399" s="12" t="s">
        <v>2313</v>
      </c>
      <c r="B399" s="14" t="s">
        <v>925</v>
      </c>
      <c r="C399" s="12" t="s">
        <v>59</v>
      </c>
      <c r="D399" s="12" t="s">
        <v>2316</v>
      </c>
      <c r="E399" s="12">
        <v>31</v>
      </c>
      <c r="F399" s="16">
        <v>18000</v>
      </c>
      <c r="G399" s="12">
        <v>700</v>
      </c>
      <c r="H399" s="16">
        <v>9000</v>
      </c>
      <c r="I399" s="12" t="s">
        <v>210</v>
      </c>
      <c r="J399" s="12" t="s">
        <v>2315</v>
      </c>
    </row>
    <row r="400" spans="1:10" ht="26.4" customHeight="1">
      <c r="A400" s="12" t="s">
        <v>2317</v>
      </c>
      <c r="B400" s="14" t="s">
        <v>925</v>
      </c>
      <c r="C400" s="12" t="s">
        <v>59</v>
      </c>
      <c r="D400" s="12" t="s">
        <v>2318</v>
      </c>
      <c r="E400" s="12">
        <v>45</v>
      </c>
      <c r="F400" s="16">
        <v>2000</v>
      </c>
      <c r="G400" s="12">
        <v>170</v>
      </c>
      <c r="H400" s="16">
        <v>6000</v>
      </c>
      <c r="I400" s="12" t="s">
        <v>210</v>
      </c>
      <c r="J400" s="12" t="s">
        <v>2319</v>
      </c>
    </row>
    <row r="401" spans="1:10" ht="26.4" customHeight="1">
      <c r="A401" s="12" t="s">
        <v>2320</v>
      </c>
      <c r="B401" s="14" t="s">
        <v>925</v>
      </c>
      <c r="C401" s="12" t="s">
        <v>59</v>
      </c>
      <c r="D401" s="12" t="s">
        <v>2321</v>
      </c>
      <c r="E401" s="12">
        <v>39</v>
      </c>
      <c r="F401" s="16">
        <v>3000</v>
      </c>
      <c r="G401" s="12">
        <v>380</v>
      </c>
      <c r="H401" s="16">
        <v>10000</v>
      </c>
      <c r="I401" s="12">
        <v>52</v>
      </c>
      <c r="J401" s="12"/>
    </row>
    <row r="402" spans="1:10" ht="26.4" customHeight="1">
      <c r="A402" s="12" t="s">
        <v>2322</v>
      </c>
      <c r="B402" s="14" t="s">
        <v>925</v>
      </c>
      <c r="C402" s="13" t="s">
        <v>563</v>
      </c>
      <c r="D402" s="12"/>
      <c r="E402" s="12">
        <v>60</v>
      </c>
      <c r="F402" s="16">
        <v>6000</v>
      </c>
      <c r="G402" s="12">
        <v>500</v>
      </c>
      <c r="H402" s="12" t="s">
        <v>210</v>
      </c>
      <c r="I402" s="12" t="s">
        <v>210</v>
      </c>
      <c r="J402" s="12" t="s">
        <v>2323</v>
      </c>
    </row>
    <row r="404" spans="1:10" ht="26.4" customHeight="1">
      <c r="A404" s="13" t="s">
        <v>0</v>
      </c>
      <c r="B404" s="13" t="s">
        <v>925</v>
      </c>
      <c r="C404" s="13" t="s">
        <v>1549</v>
      </c>
      <c r="D404" s="13" t="s">
        <v>1453</v>
      </c>
      <c r="E404" s="13" t="s">
        <v>3</v>
      </c>
      <c r="F404" s="13" t="s">
        <v>919</v>
      </c>
      <c r="G404" s="13" t="s">
        <v>1551</v>
      </c>
      <c r="H404" s="13" t="s">
        <v>921</v>
      </c>
      <c r="I404" s="13" t="s">
        <v>922</v>
      </c>
      <c r="J404" s="13" t="s">
        <v>8</v>
      </c>
    </row>
    <row r="405" spans="1:10" ht="26.4" customHeight="1">
      <c r="A405" s="12" t="s">
        <v>2324</v>
      </c>
      <c r="B405" s="14" t="s">
        <v>960</v>
      </c>
      <c r="C405" s="12" t="s">
        <v>59</v>
      </c>
      <c r="D405" s="12" t="s">
        <v>2325</v>
      </c>
      <c r="E405" s="12">
        <v>46.89</v>
      </c>
      <c r="F405" s="16">
        <v>15000</v>
      </c>
      <c r="G405" s="12">
        <v>950</v>
      </c>
      <c r="H405" s="16">
        <v>5000</v>
      </c>
      <c r="I405" s="12">
        <v>100</v>
      </c>
      <c r="J405" s="12" t="s">
        <v>2326</v>
      </c>
    </row>
    <row r="406" spans="1:10" ht="26.4" customHeight="1">
      <c r="A406" s="12" t="s">
        <v>2327</v>
      </c>
      <c r="B406" s="14" t="s">
        <v>960</v>
      </c>
      <c r="C406" s="13" t="s">
        <v>563</v>
      </c>
      <c r="D406" s="12"/>
      <c r="E406" s="12">
        <v>14</v>
      </c>
      <c r="F406" s="16">
        <v>3000</v>
      </c>
      <c r="G406" s="12">
        <v>250</v>
      </c>
      <c r="H406" s="12" t="s">
        <v>210</v>
      </c>
      <c r="I406" s="12">
        <v>5</v>
      </c>
      <c r="J406" s="12" t="s">
        <v>2328</v>
      </c>
    </row>
    <row r="407" spans="1:10" ht="26.4" customHeight="1">
      <c r="A407" s="12" t="s">
        <v>2329</v>
      </c>
      <c r="B407" s="14" t="s">
        <v>925</v>
      </c>
      <c r="C407" s="12" t="s">
        <v>59</v>
      </c>
      <c r="D407" s="12" t="s">
        <v>1949</v>
      </c>
      <c r="E407" s="12">
        <v>20</v>
      </c>
      <c r="F407" s="16">
        <v>3000</v>
      </c>
      <c r="G407" s="12">
        <v>500</v>
      </c>
      <c r="H407" s="16">
        <v>10000</v>
      </c>
      <c r="I407" s="12">
        <v>10</v>
      </c>
      <c r="J407" s="12"/>
    </row>
    <row r="408" spans="1:10" ht="26.4" customHeight="1">
      <c r="A408" s="12" t="s">
        <v>2330</v>
      </c>
      <c r="B408" s="14" t="s">
        <v>925</v>
      </c>
      <c r="C408" s="12" t="s">
        <v>59</v>
      </c>
      <c r="D408" s="12" t="s">
        <v>2331</v>
      </c>
      <c r="E408" s="12">
        <v>26</v>
      </c>
      <c r="F408" s="16">
        <v>5000</v>
      </c>
      <c r="G408" s="12">
        <v>350</v>
      </c>
      <c r="H408" s="16">
        <v>5000</v>
      </c>
      <c r="I408" s="12">
        <v>10</v>
      </c>
      <c r="J408" s="12"/>
    </row>
    <row r="409" spans="1:10" ht="26.4" customHeight="1">
      <c r="A409" s="12" t="s">
        <v>2332</v>
      </c>
      <c r="B409" s="14" t="s">
        <v>925</v>
      </c>
      <c r="C409" s="12" t="s">
        <v>59</v>
      </c>
      <c r="D409" s="12" t="s">
        <v>2333</v>
      </c>
      <c r="E409" s="12">
        <v>27</v>
      </c>
      <c r="F409" s="16">
        <v>10000</v>
      </c>
      <c r="G409" s="12">
        <v>530</v>
      </c>
      <c r="H409" s="16">
        <v>8000</v>
      </c>
      <c r="I409" s="12">
        <v>20</v>
      </c>
      <c r="J409" s="12"/>
    </row>
    <row r="410" spans="1:10" ht="26.4" customHeight="1">
      <c r="A410" s="12" t="s">
        <v>2334</v>
      </c>
      <c r="B410" s="14" t="s">
        <v>925</v>
      </c>
      <c r="C410" s="12" t="s">
        <v>59</v>
      </c>
      <c r="D410" s="12" t="s">
        <v>2335</v>
      </c>
      <c r="E410" s="12">
        <v>25</v>
      </c>
      <c r="F410" s="16">
        <v>7000</v>
      </c>
      <c r="G410" s="12">
        <v>270</v>
      </c>
      <c r="H410" s="16">
        <v>8000</v>
      </c>
      <c r="I410" s="12">
        <v>30</v>
      </c>
      <c r="J410" s="12"/>
    </row>
    <row r="411" spans="1:10" ht="26.4" customHeight="1">
      <c r="A411" s="12" t="s">
        <v>2336</v>
      </c>
      <c r="B411" s="14" t="s">
        <v>925</v>
      </c>
      <c r="C411" s="12" t="s">
        <v>59</v>
      </c>
      <c r="D411" s="12" t="s">
        <v>2337</v>
      </c>
      <c r="E411" s="12">
        <v>34</v>
      </c>
      <c r="F411" s="16">
        <v>7000</v>
      </c>
      <c r="G411" s="12">
        <v>430</v>
      </c>
      <c r="H411" s="16">
        <v>5000</v>
      </c>
      <c r="I411" s="12" t="s">
        <v>2338</v>
      </c>
      <c r="J411" s="12"/>
    </row>
    <row r="412" spans="1:10" ht="26.4" customHeight="1">
      <c r="A412" s="12" t="s">
        <v>2339</v>
      </c>
      <c r="B412" s="14" t="s">
        <v>925</v>
      </c>
      <c r="C412" s="12" t="s">
        <v>60</v>
      </c>
      <c r="D412" s="12" t="s">
        <v>2340</v>
      </c>
      <c r="E412" s="12">
        <v>24</v>
      </c>
      <c r="F412" s="16">
        <v>5000</v>
      </c>
      <c r="G412" s="12">
        <v>258</v>
      </c>
      <c r="H412" s="16">
        <v>9000</v>
      </c>
      <c r="I412" s="12" t="s">
        <v>210</v>
      </c>
      <c r="J412" s="12" t="s">
        <v>2341</v>
      </c>
    </row>
    <row r="413" spans="1:10" ht="26.4" customHeight="1">
      <c r="A413" s="12" t="s">
        <v>2342</v>
      </c>
      <c r="B413" s="14" t="s">
        <v>925</v>
      </c>
      <c r="C413" s="13" t="s">
        <v>563</v>
      </c>
      <c r="D413" s="12"/>
      <c r="E413" s="12">
        <v>25</v>
      </c>
      <c r="F413" s="16">
        <v>15000</v>
      </c>
      <c r="G413" s="12">
        <v>750</v>
      </c>
      <c r="H413" s="12" t="s">
        <v>210</v>
      </c>
      <c r="I413" s="12" t="s">
        <v>2343</v>
      </c>
      <c r="J413" s="12" t="s">
        <v>2344</v>
      </c>
    </row>
    <row r="414" spans="1:10" ht="26.4" customHeight="1">
      <c r="A414" s="12" t="s">
        <v>2345</v>
      </c>
      <c r="B414" s="14" t="s">
        <v>925</v>
      </c>
      <c r="C414" s="13" t="s">
        <v>563</v>
      </c>
      <c r="D414" s="12"/>
      <c r="E414" s="12">
        <v>25</v>
      </c>
      <c r="F414" s="16">
        <v>5500</v>
      </c>
      <c r="G414" s="12">
        <v>400</v>
      </c>
      <c r="H414" s="12" t="s">
        <v>210</v>
      </c>
      <c r="I414" s="12">
        <v>42</v>
      </c>
      <c r="J414" s="12" t="s">
        <v>2346</v>
      </c>
    </row>
    <row r="415" spans="1:10" ht="26.4" customHeight="1">
      <c r="A415" s="12" t="s">
        <v>2347</v>
      </c>
      <c r="B415" s="14" t="s">
        <v>925</v>
      </c>
      <c r="C415" s="12" t="s">
        <v>59</v>
      </c>
      <c r="D415" s="12" t="s">
        <v>2348</v>
      </c>
      <c r="E415" s="12">
        <v>60</v>
      </c>
      <c r="F415" s="16">
        <v>300000</v>
      </c>
      <c r="G415" s="16">
        <v>2400</v>
      </c>
      <c r="H415" s="12" t="s">
        <v>210</v>
      </c>
      <c r="I415" s="12">
        <v>120</v>
      </c>
      <c r="J415" s="12" t="s">
        <v>2349</v>
      </c>
    </row>
    <row r="416" spans="1:10" ht="26.4" customHeight="1">
      <c r="A416" s="12" t="s">
        <v>2350</v>
      </c>
      <c r="B416" s="14" t="s">
        <v>925</v>
      </c>
      <c r="C416" s="13" t="s">
        <v>563</v>
      </c>
      <c r="D416" s="12"/>
      <c r="E416" s="12">
        <v>157</v>
      </c>
      <c r="F416" s="16">
        <v>500000</v>
      </c>
      <c r="G416" s="16">
        <v>150000</v>
      </c>
      <c r="H416" s="12" t="s">
        <v>210</v>
      </c>
      <c r="I416" s="12" t="s">
        <v>210</v>
      </c>
      <c r="J416" s="12" t="s">
        <v>2351</v>
      </c>
    </row>
    <row r="417" spans="1:10" ht="26.4" customHeight="1">
      <c r="A417" s="12" t="s">
        <v>2352</v>
      </c>
      <c r="B417" s="14" t="s">
        <v>925</v>
      </c>
      <c r="C417" s="13" t="s">
        <v>563</v>
      </c>
      <c r="D417" s="12"/>
      <c r="E417" s="12">
        <v>51</v>
      </c>
      <c r="F417" s="16">
        <v>400000</v>
      </c>
      <c r="G417" s="16">
        <v>2800</v>
      </c>
      <c r="H417" s="12" t="s">
        <v>210</v>
      </c>
      <c r="I417" s="12">
        <v>400</v>
      </c>
      <c r="J417" s="12"/>
    </row>
    <row r="418" spans="1:10" ht="26.4" customHeight="1">
      <c r="A418" s="12" t="s">
        <v>2353</v>
      </c>
      <c r="B418" s="14" t="s">
        <v>925</v>
      </c>
      <c r="C418" s="12" t="s">
        <v>2354</v>
      </c>
      <c r="D418" s="12" t="s">
        <v>2355</v>
      </c>
      <c r="E418" s="12">
        <v>320</v>
      </c>
      <c r="F418" s="16">
        <v>50000</v>
      </c>
      <c r="G418" s="16">
        <v>5000</v>
      </c>
      <c r="H418" s="12" t="s">
        <v>210</v>
      </c>
      <c r="I418" s="12" t="s">
        <v>210</v>
      </c>
      <c r="J418" s="12" t="s">
        <v>2356</v>
      </c>
    </row>
    <row r="419" spans="1:10" ht="26.4" customHeight="1">
      <c r="A419" s="12" t="s">
        <v>2357</v>
      </c>
      <c r="B419" s="14" t="s">
        <v>925</v>
      </c>
      <c r="C419" s="12" t="s">
        <v>59</v>
      </c>
      <c r="D419" s="12" t="s">
        <v>573</v>
      </c>
      <c r="E419" s="12">
        <v>28.2</v>
      </c>
      <c r="F419" s="16">
        <v>2000</v>
      </c>
      <c r="G419" s="12">
        <v>180</v>
      </c>
      <c r="H419" s="12" t="s">
        <v>210</v>
      </c>
      <c r="I419" s="16">
        <v>5000</v>
      </c>
      <c r="J419" s="12" t="s">
        <v>2358</v>
      </c>
    </row>
    <row r="420" spans="1:10" ht="26.4" customHeight="1">
      <c r="A420" s="12" t="s">
        <v>2359</v>
      </c>
      <c r="B420" s="14" t="s">
        <v>925</v>
      </c>
      <c r="C420" s="12" t="s">
        <v>60</v>
      </c>
      <c r="D420" s="12" t="s">
        <v>2360</v>
      </c>
      <c r="E420" s="12">
        <v>50</v>
      </c>
      <c r="F420" s="16">
        <v>2000</v>
      </c>
      <c r="G420" s="16">
        <v>1000</v>
      </c>
      <c r="H420" s="16">
        <v>15000</v>
      </c>
      <c r="I420" s="12" t="s">
        <v>210</v>
      </c>
      <c r="J420" s="12" t="s">
        <v>2361</v>
      </c>
    </row>
    <row r="421" spans="1:10" ht="26.4" customHeight="1">
      <c r="A421" s="12" t="s">
        <v>2362</v>
      </c>
      <c r="B421" s="14" t="s">
        <v>925</v>
      </c>
      <c r="C421" s="13" t="s">
        <v>563</v>
      </c>
      <c r="D421" s="12" t="s">
        <v>2363</v>
      </c>
      <c r="E421" s="12">
        <v>18</v>
      </c>
      <c r="F421" s="16">
        <v>10000</v>
      </c>
      <c r="G421" s="12">
        <v>380</v>
      </c>
      <c r="H421" s="12" t="s">
        <v>210</v>
      </c>
      <c r="I421" s="12">
        <v>20</v>
      </c>
      <c r="J421" s="12" t="s">
        <v>2364</v>
      </c>
    </row>
    <row r="422" spans="1:10" ht="26.4" customHeight="1">
      <c r="A422" s="12" t="s">
        <v>2365</v>
      </c>
      <c r="B422" s="14" t="s">
        <v>925</v>
      </c>
      <c r="C422" s="12" t="s">
        <v>59</v>
      </c>
      <c r="D422" s="12" t="s">
        <v>2366</v>
      </c>
      <c r="E422" s="12">
        <v>25</v>
      </c>
      <c r="F422" s="16">
        <v>3500</v>
      </c>
      <c r="G422" s="12">
        <v>375</v>
      </c>
      <c r="H422" s="16">
        <v>20000</v>
      </c>
      <c r="I422" s="12" t="s">
        <v>210</v>
      </c>
      <c r="J422" s="12" t="s">
        <v>2367</v>
      </c>
    </row>
    <row r="423" spans="1:10" ht="26.4" customHeight="1">
      <c r="A423" s="12" t="s">
        <v>2368</v>
      </c>
      <c r="B423" s="14" t="s">
        <v>925</v>
      </c>
      <c r="C423" s="12" t="s">
        <v>59</v>
      </c>
      <c r="D423" s="12" t="s">
        <v>2369</v>
      </c>
      <c r="E423" s="12">
        <v>65</v>
      </c>
      <c r="F423" s="16">
        <v>10000</v>
      </c>
      <c r="G423" s="12">
        <v>600</v>
      </c>
      <c r="H423" s="12" t="s">
        <v>210</v>
      </c>
      <c r="I423" s="12">
        <v>0</v>
      </c>
      <c r="J423" s="12" t="s">
        <v>2370</v>
      </c>
    </row>
    <row r="424" spans="1:10" ht="26.4" customHeight="1">
      <c r="A424" s="12" t="s">
        <v>2371</v>
      </c>
      <c r="B424" s="14" t="s">
        <v>925</v>
      </c>
      <c r="C424" s="13" t="s">
        <v>563</v>
      </c>
      <c r="D424" s="12" t="s">
        <v>2372</v>
      </c>
      <c r="E424" s="12">
        <v>67.989999999999995</v>
      </c>
      <c r="F424" s="16">
        <v>15000</v>
      </c>
      <c r="G424" s="16">
        <v>1200</v>
      </c>
      <c r="H424" s="12" t="s">
        <v>210</v>
      </c>
      <c r="I424" s="12">
        <v>300</v>
      </c>
      <c r="J424" s="12" t="s">
        <v>2373</v>
      </c>
    </row>
    <row r="425" spans="1:10" ht="26.4" customHeight="1">
      <c r="A425" s="12" t="s">
        <v>2374</v>
      </c>
      <c r="B425" s="14" t="s">
        <v>925</v>
      </c>
      <c r="C425" s="12" t="s">
        <v>60</v>
      </c>
      <c r="D425" s="12" t="s">
        <v>2375</v>
      </c>
      <c r="E425" s="12">
        <v>80</v>
      </c>
      <c r="F425" s="16">
        <v>10000</v>
      </c>
      <c r="G425" s="12">
        <v>800</v>
      </c>
      <c r="H425" s="12" t="s">
        <v>210</v>
      </c>
      <c r="I425" s="12">
        <v>40</v>
      </c>
      <c r="J425" s="12" t="s">
        <v>2376</v>
      </c>
    </row>
    <row r="426" spans="1:10" ht="26.4" customHeight="1">
      <c r="A426" s="12" t="s">
        <v>2377</v>
      </c>
      <c r="B426" s="14" t="s">
        <v>925</v>
      </c>
      <c r="C426" s="12" t="s">
        <v>59</v>
      </c>
      <c r="D426" s="12" t="s">
        <v>1537</v>
      </c>
      <c r="E426" s="12">
        <v>50</v>
      </c>
      <c r="F426" s="16">
        <v>10000</v>
      </c>
      <c r="G426" s="12">
        <v>909</v>
      </c>
      <c r="H426" s="16">
        <v>16000</v>
      </c>
      <c r="I426" s="12">
        <v>0</v>
      </c>
      <c r="J426" s="12" t="s">
        <v>2378</v>
      </c>
    </row>
    <row r="427" spans="1:10" ht="26.4" customHeight="1">
      <c r="A427" s="12" t="s">
        <v>2379</v>
      </c>
      <c r="B427" s="14" t="s">
        <v>925</v>
      </c>
      <c r="C427" s="12" t="s">
        <v>59</v>
      </c>
      <c r="D427" s="12" t="s">
        <v>2380</v>
      </c>
      <c r="E427" s="12">
        <v>12</v>
      </c>
      <c r="F427" s="16">
        <v>5000</v>
      </c>
      <c r="G427" s="12">
        <v>210</v>
      </c>
      <c r="H427" s="16">
        <v>5000</v>
      </c>
      <c r="I427" s="12">
        <v>0</v>
      </c>
      <c r="J427" s="12" t="s">
        <v>2381</v>
      </c>
    </row>
    <row r="428" spans="1:10" ht="26.4" customHeight="1">
      <c r="A428" s="12" t="s">
        <v>2382</v>
      </c>
      <c r="B428" s="14" t="s">
        <v>925</v>
      </c>
      <c r="C428" s="12" t="s">
        <v>59</v>
      </c>
      <c r="D428" s="12" t="s">
        <v>2383</v>
      </c>
      <c r="E428" s="12">
        <v>24</v>
      </c>
      <c r="F428" s="16">
        <v>15000</v>
      </c>
      <c r="G428" s="12">
        <v>450</v>
      </c>
      <c r="H428" s="12"/>
      <c r="I428" s="12">
        <v>30</v>
      </c>
      <c r="J428" s="12" t="s">
        <v>2384</v>
      </c>
    </row>
    <row r="429" spans="1:10" ht="26.4" customHeight="1">
      <c r="A429" s="12" t="s">
        <v>2385</v>
      </c>
      <c r="B429" s="14" t="s">
        <v>925</v>
      </c>
      <c r="C429" s="12" t="s">
        <v>2386</v>
      </c>
      <c r="D429" s="12" t="s">
        <v>2387</v>
      </c>
      <c r="E429" s="12">
        <v>350</v>
      </c>
      <c r="F429" s="16">
        <v>50000</v>
      </c>
      <c r="G429" s="16">
        <v>3600</v>
      </c>
      <c r="H429" s="12"/>
      <c r="I429" s="12"/>
      <c r="J429" s="12" t="s">
        <v>2388</v>
      </c>
    </row>
    <row r="430" spans="1:10" ht="26.4" customHeight="1">
      <c r="A430" s="12" t="s">
        <v>2389</v>
      </c>
      <c r="B430" s="14" t="s">
        <v>925</v>
      </c>
      <c r="C430" s="13" t="s">
        <v>2390</v>
      </c>
      <c r="D430" s="12"/>
      <c r="E430" s="12" t="s">
        <v>2391</v>
      </c>
      <c r="F430" s="16">
        <v>7000</v>
      </c>
      <c r="G430" s="12">
        <v>500</v>
      </c>
      <c r="H430" s="12" t="s">
        <v>210</v>
      </c>
      <c r="I430" s="12">
        <v>40</v>
      </c>
      <c r="J430" s="12" t="s">
        <v>2392</v>
      </c>
    </row>
    <row r="431" spans="1:10" ht="26.4" customHeight="1">
      <c r="A431" s="12" t="s">
        <v>2393</v>
      </c>
      <c r="B431" s="14" t="s">
        <v>925</v>
      </c>
      <c r="C431" s="12" t="s">
        <v>60</v>
      </c>
      <c r="D431" s="12" t="s">
        <v>2394</v>
      </c>
      <c r="E431" s="12">
        <v>180</v>
      </c>
      <c r="F431" s="16">
        <v>15000</v>
      </c>
      <c r="G431" s="12">
        <v>950</v>
      </c>
      <c r="H431" s="12"/>
      <c r="I431" s="12"/>
      <c r="J431" s="12" t="s">
        <v>2395</v>
      </c>
    </row>
    <row r="432" spans="1:10" ht="26.4" customHeight="1">
      <c r="A432" s="12" t="s">
        <v>2396</v>
      </c>
      <c r="B432" s="14" t="s">
        <v>925</v>
      </c>
      <c r="C432" s="13" t="s">
        <v>563</v>
      </c>
      <c r="D432" s="12"/>
      <c r="E432" s="12">
        <v>37.14</v>
      </c>
      <c r="F432" s="16">
        <v>5000</v>
      </c>
      <c r="G432" s="12">
        <v>280</v>
      </c>
      <c r="H432" s="12" t="s">
        <v>210</v>
      </c>
      <c r="I432" s="12" t="s">
        <v>210</v>
      </c>
      <c r="J432" s="12" t="s">
        <v>2397</v>
      </c>
    </row>
    <row r="433" spans="1:10" ht="26.4" customHeight="1">
      <c r="A433" s="12" t="s">
        <v>2398</v>
      </c>
      <c r="B433" s="14" t="s">
        <v>925</v>
      </c>
      <c r="C433" s="12" t="s">
        <v>59</v>
      </c>
      <c r="D433" s="12" t="s">
        <v>2399</v>
      </c>
      <c r="E433" s="12">
        <v>30</v>
      </c>
      <c r="F433" s="16">
        <v>4000</v>
      </c>
      <c r="G433" s="12">
        <v>360</v>
      </c>
      <c r="H433" s="16">
        <v>7000</v>
      </c>
      <c r="I433" s="12" t="s">
        <v>210</v>
      </c>
      <c r="J433" s="12" t="s">
        <v>2400</v>
      </c>
    </row>
    <row r="434" spans="1:10" ht="26.4" customHeight="1">
      <c r="A434" s="12" t="s">
        <v>2401</v>
      </c>
      <c r="B434" s="14" t="s">
        <v>925</v>
      </c>
      <c r="C434" s="12" t="s">
        <v>59</v>
      </c>
      <c r="D434" s="12" t="s">
        <v>2402</v>
      </c>
      <c r="E434" s="12">
        <v>20</v>
      </c>
      <c r="F434" s="16">
        <v>7000</v>
      </c>
      <c r="G434" s="12">
        <v>410</v>
      </c>
      <c r="H434" s="16">
        <v>8000</v>
      </c>
      <c r="I434" s="12">
        <v>22</v>
      </c>
      <c r="J434" s="12" t="s">
        <v>2403</v>
      </c>
    </row>
    <row r="435" spans="1:10" ht="26.4" customHeight="1">
      <c r="A435" s="12" t="s">
        <v>2404</v>
      </c>
      <c r="B435" s="14" t="s">
        <v>925</v>
      </c>
      <c r="C435" s="12" t="s">
        <v>59</v>
      </c>
      <c r="D435" s="12" t="s">
        <v>2405</v>
      </c>
      <c r="E435" s="12">
        <v>35</v>
      </c>
      <c r="F435" s="16">
        <v>3000</v>
      </c>
      <c r="G435" s="12">
        <v>260</v>
      </c>
      <c r="H435" s="12" t="s">
        <v>210</v>
      </c>
      <c r="I435" s="12" t="s">
        <v>210</v>
      </c>
      <c r="J435" s="12" t="s">
        <v>2406</v>
      </c>
    </row>
    <row r="436" spans="1:10" ht="26.4" customHeight="1">
      <c r="A436" s="12" t="s">
        <v>2407</v>
      </c>
      <c r="B436" s="14" t="s">
        <v>925</v>
      </c>
      <c r="C436" s="12" t="s">
        <v>59</v>
      </c>
      <c r="D436" s="12" t="s">
        <v>2408</v>
      </c>
      <c r="E436" s="12">
        <v>40</v>
      </c>
      <c r="F436" s="16">
        <v>4000</v>
      </c>
      <c r="G436" s="12">
        <v>280</v>
      </c>
      <c r="H436" s="12" t="s">
        <v>210</v>
      </c>
      <c r="I436" s="12" t="s">
        <v>210</v>
      </c>
      <c r="J436" s="12"/>
    </row>
    <row r="437" spans="1:10" ht="26.4" customHeight="1">
      <c r="A437" s="12" t="s">
        <v>2409</v>
      </c>
      <c r="B437" s="14" t="s">
        <v>925</v>
      </c>
      <c r="C437" s="12" t="s">
        <v>59</v>
      </c>
      <c r="D437" s="12" t="s">
        <v>2410</v>
      </c>
      <c r="E437" s="12">
        <v>35</v>
      </c>
      <c r="F437" s="16">
        <v>2000</v>
      </c>
      <c r="G437" s="12">
        <v>250</v>
      </c>
      <c r="H437" s="12" t="s">
        <v>210</v>
      </c>
      <c r="I437" s="12" t="s">
        <v>210</v>
      </c>
      <c r="J437" s="12" t="s">
        <v>2411</v>
      </c>
    </row>
    <row r="438" spans="1:10" ht="26.4" customHeight="1">
      <c r="A438" s="12" t="s">
        <v>2412</v>
      </c>
      <c r="B438" s="14" t="s">
        <v>925</v>
      </c>
      <c r="C438" s="12" t="s">
        <v>59</v>
      </c>
      <c r="D438" s="12" t="s">
        <v>2413</v>
      </c>
      <c r="E438" s="12">
        <v>40</v>
      </c>
      <c r="F438" s="16">
        <v>2000</v>
      </c>
      <c r="G438" s="12">
        <v>250</v>
      </c>
      <c r="H438" s="16">
        <v>5000</v>
      </c>
      <c r="I438" s="12" t="s">
        <v>210</v>
      </c>
      <c r="J438" s="12" t="s">
        <v>2414</v>
      </c>
    </row>
    <row r="439" spans="1:10" ht="26.4" customHeight="1">
      <c r="A439" s="12" t="s">
        <v>2415</v>
      </c>
      <c r="B439" s="14" t="s">
        <v>925</v>
      </c>
      <c r="C439" s="12" t="s">
        <v>59</v>
      </c>
      <c r="D439" s="12" t="s">
        <v>2416</v>
      </c>
      <c r="E439" s="12">
        <v>56</v>
      </c>
      <c r="F439" s="16">
        <v>8500</v>
      </c>
      <c r="G439" s="12">
        <v>790</v>
      </c>
      <c r="H439" s="12" t="s">
        <v>210</v>
      </c>
      <c r="I439" s="12">
        <v>30</v>
      </c>
      <c r="J439" s="12" t="s">
        <v>2417</v>
      </c>
    </row>
    <row r="440" spans="1:10" ht="26.4" customHeight="1">
      <c r="A440" s="12" t="s">
        <v>2418</v>
      </c>
      <c r="B440" s="14" t="s">
        <v>925</v>
      </c>
      <c r="C440" s="13" t="s">
        <v>563</v>
      </c>
      <c r="D440" s="12" t="s">
        <v>2419</v>
      </c>
      <c r="E440" s="12">
        <v>22</v>
      </c>
      <c r="F440" s="16">
        <v>7000</v>
      </c>
      <c r="G440" s="12">
        <v>370</v>
      </c>
      <c r="H440" s="12" t="s">
        <v>210</v>
      </c>
      <c r="I440" s="12">
        <v>1</v>
      </c>
      <c r="J440" s="12" t="s">
        <v>2420</v>
      </c>
    </row>
    <row r="441" spans="1:10" ht="26.4" customHeight="1">
      <c r="A441" s="12" t="s">
        <v>2421</v>
      </c>
      <c r="B441" s="14" t="s">
        <v>925</v>
      </c>
      <c r="C441" s="13" t="s">
        <v>2422</v>
      </c>
      <c r="D441" s="12"/>
      <c r="E441" s="12">
        <v>24</v>
      </c>
      <c r="F441" s="16">
        <v>8000</v>
      </c>
      <c r="G441" s="12">
        <v>600</v>
      </c>
      <c r="H441" s="12" t="s">
        <v>210</v>
      </c>
      <c r="I441" s="12" t="s">
        <v>210</v>
      </c>
      <c r="J441" s="12" t="s">
        <v>2423</v>
      </c>
    </row>
    <row r="442" spans="1:10" ht="26.4" customHeight="1">
      <c r="A442" s="12" t="s">
        <v>2424</v>
      </c>
      <c r="B442" s="14" t="s">
        <v>925</v>
      </c>
      <c r="C442" s="12" t="s">
        <v>59</v>
      </c>
      <c r="D442" s="12" t="s">
        <v>2425</v>
      </c>
      <c r="E442" s="12">
        <v>57</v>
      </c>
      <c r="F442" s="16">
        <v>8000</v>
      </c>
      <c r="G442" s="12">
        <v>720</v>
      </c>
      <c r="H442" s="16">
        <v>20000</v>
      </c>
      <c r="I442" s="12" t="s">
        <v>210</v>
      </c>
      <c r="J442" s="12"/>
    </row>
    <row r="443" spans="1:10" ht="26.4" customHeight="1">
      <c r="A443" s="12" t="s">
        <v>2426</v>
      </c>
      <c r="B443" s="14" t="s">
        <v>925</v>
      </c>
      <c r="C443" s="12" t="s">
        <v>59</v>
      </c>
      <c r="D443" s="12" t="s">
        <v>2427</v>
      </c>
      <c r="E443" s="12">
        <v>44.6</v>
      </c>
      <c r="F443" s="16">
        <v>13000</v>
      </c>
      <c r="G443" s="12">
        <v>770</v>
      </c>
      <c r="H443" s="16">
        <v>7000</v>
      </c>
      <c r="I443" s="12" t="s">
        <v>210</v>
      </c>
      <c r="J443" s="12"/>
    </row>
    <row r="444" spans="1:10" ht="26.4" customHeight="1">
      <c r="A444" s="12" t="s">
        <v>2424</v>
      </c>
      <c r="B444" s="14" t="s">
        <v>925</v>
      </c>
      <c r="C444" s="12" t="s">
        <v>59</v>
      </c>
      <c r="D444" s="12" t="s">
        <v>2428</v>
      </c>
      <c r="E444" s="12">
        <v>40</v>
      </c>
      <c r="F444" s="16">
        <v>3000</v>
      </c>
      <c r="G444" s="12">
        <v>400</v>
      </c>
      <c r="H444" s="16">
        <v>12000</v>
      </c>
      <c r="I444" s="12" t="s">
        <v>210</v>
      </c>
      <c r="J444" s="12"/>
    </row>
    <row r="445" spans="1:10" ht="26.4" customHeight="1">
      <c r="A445" s="12" t="s">
        <v>2429</v>
      </c>
      <c r="B445" s="14" t="s">
        <v>925</v>
      </c>
      <c r="C445" s="12" t="s">
        <v>59</v>
      </c>
      <c r="D445" s="12" t="s">
        <v>2430</v>
      </c>
      <c r="E445" s="12">
        <v>56</v>
      </c>
      <c r="F445" s="16">
        <v>10500</v>
      </c>
      <c r="G445" s="12">
        <v>480</v>
      </c>
      <c r="H445" s="12"/>
      <c r="I445" s="12"/>
      <c r="J445" s="13" t="s">
        <v>2431</v>
      </c>
    </row>
    <row r="446" spans="1:10" ht="26.4" customHeight="1">
      <c r="A446" s="12" t="s">
        <v>2429</v>
      </c>
      <c r="B446" s="14" t="s">
        <v>925</v>
      </c>
      <c r="C446" s="12" t="s">
        <v>59</v>
      </c>
      <c r="D446" s="12" t="s">
        <v>2432</v>
      </c>
      <c r="E446" s="12">
        <v>50</v>
      </c>
      <c r="F446" s="16">
        <v>10440</v>
      </c>
      <c r="G446" s="12">
        <v>430</v>
      </c>
      <c r="H446" s="12"/>
      <c r="I446" s="12"/>
      <c r="J446" s="13" t="s">
        <v>2433</v>
      </c>
    </row>
    <row r="447" spans="1:10" ht="26.4" customHeight="1">
      <c r="A447" s="12" t="s">
        <v>2434</v>
      </c>
      <c r="B447" s="14" t="s">
        <v>925</v>
      </c>
      <c r="C447" s="12" t="s">
        <v>59</v>
      </c>
      <c r="D447" s="12" t="s">
        <v>2435</v>
      </c>
      <c r="E447" s="12">
        <v>42</v>
      </c>
      <c r="F447" s="16">
        <v>10000</v>
      </c>
      <c r="G447" s="12">
        <v>720</v>
      </c>
      <c r="H447" s="16">
        <v>18000</v>
      </c>
      <c r="I447" s="12">
        <v>50</v>
      </c>
      <c r="J447" s="12" t="s">
        <v>2436</v>
      </c>
    </row>
    <row r="448" spans="1:10" ht="26.4" customHeight="1">
      <c r="A448" s="12" t="s">
        <v>2437</v>
      </c>
      <c r="B448" s="14" t="s">
        <v>925</v>
      </c>
      <c r="C448" s="13" t="s">
        <v>2438</v>
      </c>
      <c r="D448" s="12" t="s">
        <v>2439</v>
      </c>
      <c r="E448" s="12">
        <v>60</v>
      </c>
      <c r="F448" s="16">
        <v>10000</v>
      </c>
      <c r="G448" s="16">
        <v>1000</v>
      </c>
      <c r="H448" s="16">
        <v>6000</v>
      </c>
      <c r="I448" s="12">
        <v>0</v>
      </c>
      <c r="J448" s="12"/>
    </row>
    <row r="449" spans="1:10" ht="26.4" customHeight="1">
      <c r="A449" s="12" t="s">
        <v>2440</v>
      </c>
      <c r="B449" s="14" t="s">
        <v>925</v>
      </c>
      <c r="C449" s="12" t="s">
        <v>59</v>
      </c>
      <c r="D449" s="12" t="s">
        <v>2441</v>
      </c>
      <c r="E449" s="12">
        <v>25</v>
      </c>
      <c r="F449" s="16">
        <v>5000</v>
      </c>
      <c r="G449" s="12">
        <v>320</v>
      </c>
      <c r="H449" s="16">
        <v>5000</v>
      </c>
      <c r="I449" s="12">
        <v>0</v>
      </c>
      <c r="J449" s="12"/>
    </row>
    <row r="450" spans="1:10" ht="26.4" customHeight="1">
      <c r="A450" s="12" t="s">
        <v>2442</v>
      </c>
      <c r="B450" s="14" t="s">
        <v>925</v>
      </c>
      <c r="C450" s="12" t="s">
        <v>59</v>
      </c>
      <c r="D450" s="12" t="s">
        <v>2443</v>
      </c>
      <c r="E450" s="12">
        <v>17.5</v>
      </c>
      <c r="F450" s="16">
        <v>8000</v>
      </c>
      <c r="G450" s="12">
        <v>600</v>
      </c>
      <c r="H450" s="16">
        <v>12000</v>
      </c>
      <c r="I450" s="12">
        <v>0</v>
      </c>
      <c r="J450" s="12" t="s">
        <v>2444</v>
      </c>
    </row>
    <row r="452" spans="1:10" ht="26.4" customHeight="1">
      <c r="A452" s="13" t="s">
        <v>0</v>
      </c>
      <c r="B452" s="13" t="s">
        <v>925</v>
      </c>
      <c r="C452" s="13" t="s">
        <v>1549</v>
      </c>
      <c r="D452" s="13" t="s">
        <v>1453</v>
      </c>
      <c r="E452" s="13" t="s">
        <v>3</v>
      </c>
      <c r="F452" s="13" t="s">
        <v>919</v>
      </c>
      <c r="G452" s="13" t="s">
        <v>1551</v>
      </c>
      <c r="H452" s="13" t="s">
        <v>921</v>
      </c>
      <c r="I452" s="13" t="s">
        <v>922</v>
      </c>
      <c r="J452" s="13" t="s">
        <v>8</v>
      </c>
    </row>
    <row r="453" spans="1:10" ht="34.200000000000003" customHeight="1">
      <c r="A453" s="12" t="s">
        <v>2445</v>
      </c>
      <c r="B453" s="14" t="s">
        <v>925</v>
      </c>
      <c r="C453" s="13" t="s">
        <v>563</v>
      </c>
      <c r="D453" s="12" t="s">
        <v>2446</v>
      </c>
      <c r="E453" s="12">
        <v>26</v>
      </c>
      <c r="F453" s="16">
        <v>4000</v>
      </c>
      <c r="G453" s="12">
        <v>230</v>
      </c>
      <c r="H453" s="12" t="s">
        <v>210</v>
      </c>
      <c r="I453" s="12" t="s">
        <v>210</v>
      </c>
      <c r="J453" s="12" t="s">
        <v>2447</v>
      </c>
    </row>
    <row r="454" spans="1:10" ht="26.4" customHeight="1">
      <c r="A454" s="12" t="s">
        <v>2448</v>
      </c>
      <c r="B454" s="14" t="s">
        <v>925</v>
      </c>
      <c r="C454" s="12" t="s">
        <v>59</v>
      </c>
      <c r="D454" s="12" t="s">
        <v>2449</v>
      </c>
      <c r="E454" s="12">
        <v>18</v>
      </c>
      <c r="F454" s="16">
        <v>15000</v>
      </c>
      <c r="G454" s="16">
        <v>1200</v>
      </c>
      <c r="H454" s="16">
        <v>20000</v>
      </c>
      <c r="I454" s="12" t="s">
        <v>210</v>
      </c>
      <c r="J454" s="12" t="s">
        <v>2450</v>
      </c>
    </row>
    <row r="455" spans="1:10" ht="26.4" customHeight="1">
      <c r="A455" s="12" t="s">
        <v>2451</v>
      </c>
      <c r="B455" s="14" t="s">
        <v>925</v>
      </c>
      <c r="C455" s="12" t="s">
        <v>59</v>
      </c>
      <c r="D455" s="12" t="s">
        <v>2452</v>
      </c>
      <c r="E455" s="12">
        <v>45</v>
      </c>
      <c r="F455" s="16">
        <v>10000</v>
      </c>
      <c r="G455" s="12">
        <v>800</v>
      </c>
      <c r="H455" s="16">
        <v>6000</v>
      </c>
      <c r="I455" s="12">
        <v>45</v>
      </c>
      <c r="J455" s="12" t="s">
        <v>2453</v>
      </c>
    </row>
    <row r="456" spans="1:10" ht="26.4" customHeight="1">
      <c r="A456" s="12" t="s">
        <v>2454</v>
      </c>
      <c r="B456" s="14" t="s">
        <v>960</v>
      </c>
      <c r="C456" s="13" t="s">
        <v>2422</v>
      </c>
      <c r="D456" s="12"/>
      <c r="E456" s="12">
        <v>31</v>
      </c>
      <c r="F456" s="16">
        <v>8000</v>
      </c>
      <c r="G456" s="12">
        <v>480</v>
      </c>
      <c r="H456" s="12" t="s">
        <v>210</v>
      </c>
      <c r="I456" s="12" t="s">
        <v>210</v>
      </c>
      <c r="J456" s="12"/>
    </row>
    <row r="457" spans="1:10" ht="26.4" customHeight="1">
      <c r="A457" s="12" t="s">
        <v>2455</v>
      </c>
      <c r="B457" s="14" t="s">
        <v>925</v>
      </c>
      <c r="C457" s="12" t="s">
        <v>59</v>
      </c>
      <c r="D457" s="12" t="s">
        <v>2456</v>
      </c>
      <c r="E457" s="12">
        <v>30</v>
      </c>
      <c r="F457" s="16">
        <v>5000</v>
      </c>
      <c r="G457" s="12">
        <v>300</v>
      </c>
      <c r="H457" s="12" t="s">
        <v>210</v>
      </c>
      <c r="I457" s="12" t="s">
        <v>210</v>
      </c>
      <c r="J457" s="12"/>
    </row>
    <row r="458" spans="1:10" ht="26.4" customHeight="1">
      <c r="A458" s="12" t="s">
        <v>2457</v>
      </c>
      <c r="B458" s="14" t="s">
        <v>960</v>
      </c>
      <c r="C458" s="12" t="s">
        <v>59</v>
      </c>
      <c r="D458" s="12" t="s">
        <v>2458</v>
      </c>
      <c r="E458" s="12">
        <v>32</v>
      </c>
      <c r="F458" s="16">
        <v>6000</v>
      </c>
      <c r="G458" s="12">
        <v>360</v>
      </c>
      <c r="H458" s="16">
        <v>15000</v>
      </c>
      <c r="I458" s="12" t="s">
        <v>210</v>
      </c>
      <c r="J458" s="12" t="s">
        <v>2459</v>
      </c>
    </row>
    <row r="459" spans="1:10" ht="26.4" customHeight="1">
      <c r="A459" s="12" t="s">
        <v>2460</v>
      </c>
      <c r="B459" s="14" t="s">
        <v>925</v>
      </c>
      <c r="C459" s="12" t="s">
        <v>59</v>
      </c>
      <c r="D459" s="12" t="s">
        <v>2461</v>
      </c>
      <c r="E459" s="12">
        <v>26</v>
      </c>
      <c r="F459" s="16">
        <v>10000</v>
      </c>
      <c r="G459" s="12">
        <v>500</v>
      </c>
      <c r="H459" s="12" t="s">
        <v>210</v>
      </c>
      <c r="I459" s="12" t="s">
        <v>210</v>
      </c>
      <c r="J459" s="12"/>
    </row>
    <row r="460" spans="1:10" ht="26.4" customHeight="1">
      <c r="A460" s="12" t="s">
        <v>2462</v>
      </c>
      <c r="B460" s="14" t="s">
        <v>925</v>
      </c>
      <c r="C460" s="12" t="s">
        <v>59</v>
      </c>
      <c r="D460" s="12" t="s">
        <v>2463</v>
      </c>
      <c r="E460" s="12">
        <v>49</v>
      </c>
      <c r="F460" s="16">
        <v>10000</v>
      </c>
      <c r="G460" s="12">
        <v>600</v>
      </c>
      <c r="H460" s="16">
        <v>6500</v>
      </c>
      <c r="I460" s="12">
        <v>10</v>
      </c>
      <c r="J460" s="12" t="s">
        <v>2464</v>
      </c>
    </row>
    <row r="461" spans="1:10" ht="26.4" customHeight="1">
      <c r="A461" s="12" t="s">
        <v>2465</v>
      </c>
      <c r="B461" s="14" t="s">
        <v>960</v>
      </c>
      <c r="C461" s="12" t="s">
        <v>59</v>
      </c>
      <c r="D461" s="12" t="s">
        <v>2466</v>
      </c>
      <c r="E461" s="12">
        <v>23</v>
      </c>
      <c r="F461" s="16">
        <v>9000</v>
      </c>
      <c r="G461" s="12">
        <v>530</v>
      </c>
      <c r="H461" s="16">
        <v>7500</v>
      </c>
      <c r="I461" s="12" t="s">
        <v>210</v>
      </c>
      <c r="J461" s="12"/>
    </row>
    <row r="462" spans="1:10" ht="26.4" customHeight="1">
      <c r="A462" s="12" t="s">
        <v>2467</v>
      </c>
      <c r="B462" s="14" t="s">
        <v>925</v>
      </c>
      <c r="C462" s="12" t="s">
        <v>59</v>
      </c>
      <c r="D462" s="12" t="s">
        <v>2468</v>
      </c>
      <c r="E462" s="12">
        <v>23</v>
      </c>
      <c r="F462" s="16">
        <v>4000</v>
      </c>
      <c r="G462" s="12">
        <v>368</v>
      </c>
      <c r="H462" s="16">
        <v>9000</v>
      </c>
      <c r="I462" s="12">
        <v>25</v>
      </c>
      <c r="J462" s="12" t="s">
        <v>2469</v>
      </c>
    </row>
    <row r="463" spans="1:10" ht="26.4" customHeight="1">
      <c r="A463" s="12" t="s">
        <v>2470</v>
      </c>
      <c r="B463" s="14" t="s">
        <v>960</v>
      </c>
      <c r="C463" s="12" t="s">
        <v>59</v>
      </c>
      <c r="D463" s="12" t="s">
        <v>2471</v>
      </c>
      <c r="E463" s="12">
        <v>30</v>
      </c>
      <c r="F463" s="16">
        <v>6000</v>
      </c>
      <c r="G463" s="12">
        <v>270</v>
      </c>
      <c r="H463" s="16">
        <v>5000</v>
      </c>
      <c r="I463" s="12">
        <v>15</v>
      </c>
      <c r="J463" s="12"/>
    </row>
    <row r="464" spans="1:10" ht="26.4" customHeight="1">
      <c r="A464" s="12" t="s">
        <v>2472</v>
      </c>
      <c r="B464" s="14" t="s">
        <v>960</v>
      </c>
      <c r="C464" s="12" t="s">
        <v>59</v>
      </c>
      <c r="D464" s="12" t="s">
        <v>2473</v>
      </c>
      <c r="E464" s="12">
        <v>35</v>
      </c>
      <c r="F464" s="16">
        <v>5000</v>
      </c>
      <c r="G464" s="12">
        <v>350</v>
      </c>
      <c r="H464" s="16">
        <v>10000</v>
      </c>
      <c r="I464" s="12" t="s">
        <v>210</v>
      </c>
      <c r="J464" s="12"/>
    </row>
    <row r="465" spans="1:10" ht="26.4" customHeight="1">
      <c r="A465" s="12" t="s">
        <v>2474</v>
      </c>
      <c r="B465" s="14" t="s">
        <v>925</v>
      </c>
      <c r="C465" s="12" t="s">
        <v>59</v>
      </c>
      <c r="D465" s="12" t="s">
        <v>2475</v>
      </c>
      <c r="E465" s="12">
        <v>45</v>
      </c>
      <c r="F465" s="16">
        <v>10000</v>
      </c>
      <c r="G465" s="12">
        <v>950</v>
      </c>
      <c r="H465" s="16">
        <v>30000</v>
      </c>
      <c r="I465" s="12">
        <v>45</v>
      </c>
      <c r="J465" s="12"/>
    </row>
    <row r="466" spans="1:10" ht="26.4" customHeight="1">
      <c r="A466" s="12" t="s">
        <v>2474</v>
      </c>
      <c r="B466" s="14" t="s">
        <v>960</v>
      </c>
      <c r="C466" s="12" t="s">
        <v>59</v>
      </c>
      <c r="D466" s="12" t="s">
        <v>2476</v>
      </c>
      <c r="E466" s="12">
        <v>40</v>
      </c>
      <c r="F466" s="16">
        <v>10000</v>
      </c>
      <c r="G466" s="12">
        <v>950</v>
      </c>
      <c r="H466" s="16">
        <v>30000</v>
      </c>
      <c r="I466" s="12" t="s">
        <v>210</v>
      </c>
      <c r="J466" s="12"/>
    </row>
    <row r="468" spans="1:10" ht="26.4" customHeight="1">
      <c r="A468" s="13" t="s">
        <v>0</v>
      </c>
      <c r="B468" s="13" t="s">
        <v>925</v>
      </c>
      <c r="C468" s="13" t="s">
        <v>1549</v>
      </c>
      <c r="D468" s="13" t="s">
        <v>1453</v>
      </c>
      <c r="E468" s="13" t="s">
        <v>3</v>
      </c>
      <c r="F468" s="13" t="s">
        <v>919</v>
      </c>
      <c r="G468" s="13" t="s">
        <v>1551</v>
      </c>
      <c r="H468" s="13" t="s">
        <v>921</v>
      </c>
      <c r="I468" s="13" t="s">
        <v>922</v>
      </c>
      <c r="J468" s="13" t="s">
        <v>8</v>
      </c>
    </row>
    <row r="469" spans="1:10" ht="26.4" customHeight="1">
      <c r="A469" s="12" t="s">
        <v>2477</v>
      </c>
      <c r="B469" s="14" t="s">
        <v>925</v>
      </c>
      <c r="C469" s="13" t="s">
        <v>59</v>
      </c>
      <c r="D469" s="12" t="s">
        <v>2478</v>
      </c>
      <c r="E469" s="12">
        <v>23.24</v>
      </c>
      <c r="F469" s="16">
        <v>5000</v>
      </c>
      <c r="G469" s="12">
        <v>320</v>
      </c>
      <c r="H469" s="16">
        <v>8000</v>
      </c>
      <c r="I469" s="12">
        <v>60</v>
      </c>
      <c r="J469" s="12" t="s">
        <v>2479</v>
      </c>
    </row>
    <row r="470" spans="1:10" ht="26.4" customHeight="1">
      <c r="A470" s="12" t="s">
        <v>2480</v>
      </c>
      <c r="B470" s="14" t="s">
        <v>925</v>
      </c>
      <c r="C470" s="13" t="s">
        <v>563</v>
      </c>
      <c r="D470" s="12"/>
      <c r="E470" s="12">
        <v>20</v>
      </c>
      <c r="F470" s="16">
        <v>6000</v>
      </c>
      <c r="G470" s="12">
        <v>315</v>
      </c>
      <c r="H470" s="12" t="s">
        <v>210</v>
      </c>
      <c r="I470" s="12" t="s">
        <v>930</v>
      </c>
      <c r="J470" s="12" t="s">
        <v>2481</v>
      </c>
    </row>
    <row r="471" spans="1:10" ht="26.4" customHeight="1">
      <c r="A471" s="12" t="s">
        <v>2482</v>
      </c>
      <c r="B471" s="14" t="s">
        <v>925</v>
      </c>
      <c r="C471" s="13" t="s">
        <v>59</v>
      </c>
      <c r="D471" s="12" t="s">
        <v>2483</v>
      </c>
      <c r="E471" s="12">
        <v>27.98</v>
      </c>
      <c r="F471" s="16">
        <v>5000</v>
      </c>
      <c r="G471" s="12">
        <v>480</v>
      </c>
      <c r="H471" s="16">
        <v>13000</v>
      </c>
      <c r="I471" s="12">
        <v>76.5</v>
      </c>
      <c r="J471" s="12" t="s">
        <v>2484</v>
      </c>
    </row>
    <row r="472" spans="1:10" ht="26.4" customHeight="1">
      <c r="A472" s="12" t="s">
        <v>2485</v>
      </c>
      <c r="B472" s="14" t="s">
        <v>925</v>
      </c>
      <c r="C472" s="12" t="s">
        <v>2486</v>
      </c>
      <c r="D472" s="12" t="s">
        <v>2487</v>
      </c>
      <c r="E472" s="12">
        <v>33</v>
      </c>
      <c r="F472" s="16">
        <v>2500</v>
      </c>
      <c r="G472" s="12">
        <v>440</v>
      </c>
      <c r="H472" s="16">
        <v>4000</v>
      </c>
      <c r="I472" s="12" t="s">
        <v>210</v>
      </c>
      <c r="J472" s="12" t="s">
        <v>2488</v>
      </c>
    </row>
    <row r="473" spans="1:10" ht="26.4" customHeight="1">
      <c r="A473" s="12" t="s">
        <v>2489</v>
      </c>
      <c r="B473" s="14" t="s">
        <v>925</v>
      </c>
      <c r="C473" s="13" t="s">
        <v>59</v>
      </c>
      <c r="D473" s="12" t="s">
        <v>2490</v>
      </c>
      <c r="E473" s="12">
        <v>12</v>
      </c>
      <c r="F473" s="16">
        <v>10000</v>
      </c>
      <c r="G473" s="12">
        <v>850</v>
      </c>
      <c r="H473" s="16">
        <v>5000</v>
      </c>
      <c r="I473" s="12" t="s">
        <v>210</v>
      </c>
      <c r="J473" s="12" t="s">
        <v>2491</v>
      </c>
    </row>
    <row r="474" spans="1:10" ht="26.4" customHeight="1">
      <c r="A474" s="12" t="s">
        <v>2492</v>
      </c>
      <c r="B474" s="14" t="s">
        <v>925</v>
      </c>
      <c r="C474" s="13" t="s">
        <v>59</v>
      </c>
      <c r="D474" s="12"/>
      <c r="E474" s="12">
        <v>19</v>
      </c>
      <c r="F474" s="16">
        <v>12962</v>
      </c>
      <c r="G474" s="12">
        <v>953</v>
      </c>
      <c r="H474" s="16">
        <v>5000</v>
      </c>
      <c r="I474" s="12">
        <v>136</v>
      </c>
      <c r="J474" s="12" t="s">
        <v>2493</v>
      </c>
    </row>
    <row r="475" spans="1:10" ht="26.4" customHeight="1">
      <c r="A475" s="12" t="s">
        <v>2494</v>
      </c>
      <c r="B475" s="14" t="s">
        <v>925</v>
      </c>
      <c r="C475" s="13" t="s">
        <v>59</v>
      </c>
      <c r="D475" s="12" t="s">
        <v>2495</v>
      </c>
      <c r="E475" s="12">
        <v>33</v>
      </c>
      <c r="F475" s="16">
        <v>5000</v>
      </c>
      <c r="G475" s="12">
        <v>500</v>
      </c>
      <c r="H475" s="16">
        <v>30000</v>
      </c>
      <c r="I475" s="12" t="s">
        <v>210</v>
      </c>
      <c r="J475" s="12" t="s">
        <v>2496</v>
      </c>
    </row>
    <row r="476" spans="1:10" ht="26.4" customHeight="1">
      <c r="A476" s="12" t="s">
        <v>2497</v>
      </c>
      <c r="B476" s="14" t="s">
        <v>925</v>
      </c>
      <c r="C476" s="13" t="s">
        <v>59</v>
      </c>
      <c r="D476" s="12" t="s">
        <v>2498</v>
      </c>
      <c r="E476" s="12">
        <v>50</v>
      </c>
      <c r="F476" s="16">
        <v>6000</v>
      </c>
      <c r="G476" s="12">
        <v>580</v>
      </c>
      <c r="H476" s="16">
        <v>30000</v>
      </c>
      <c r="I476" s="12" t="s">
        <v>210</v>
      </c>
      <c r="J476" s="12" t="s">
        <v>2499</v>
      </c>
    </row>
    <row r="477" spans="1:10" ht="26.4" customHeight="1">
      <c r="A477" s="12" t="s">
        <v>2500</v>
      </c>
      <c r="B477" s="14" t="s">
        <v>925</v>
      </c>
      <c r="C477" s="13" t="s">
        <v>59</v>
      </c>
      <c r="D477" s="12" t="s">
        <v>2501</v>
      </c>
      <c r="E477" s="12">
        <v>20</v>
      </c>
      <c r="F477" s="16">
        <v>5000</v>
      </c>
      <c r="G477" s="12">
        <v>300</v>
      </c>
      <c r="H477" s="16">
        <v>20000</v>
      </c>
      <c r="I477" s="12" t="s">
        <v>210</v>
      </c>
      <c r="J477" s="12" t="s">
        <v>2502</v>
      </c>
    </row>
    <row r="478" spans="1:10" ht="26.4" customHeight="1">
      <c r="A478" s="12" t="s">
        <v>571</v>
      </c>
      <c r="B478" s="14" t="s">
        <v>925</v>
      </c>
      <c r="C478" s="13" t="s">
        <v>59</v>
      </c>
      <c r="D478" s="12" t="s">
        <v>573</v>
      </c>
      <c r="E478" s="12">
        <v>30</v>
      </c>
      <c r="F478" s="16">
        <v>20000</v>
      </c>
      <c r="G478" s="16">
        <v>1700</v>
      </c>
      <c r="H478" s="12" t="s">
        <v>210</v>
      </c>
      <c r="I478" s="12" t="s">
        <v>210</v>
      </c>
      <c r="J478" s="12" t="s">
        <v>2503</v>
      </c>
    </row>
    <row r="479" spans="1:10" ht="26.4" customHeight="1">
      <c r="A479" s="12" t="s">
        <v>571</v>
      </c>
      <c r="B479" s="14" t="s">
        <v>925</v>
      </c>
      <c r="C479" s="12" t="s">
        <v>60</v>
      </c>
      <c r="D479" s="12" t="s">
        <v>2504</v>
      </c>
      <c r="E479" s="12">
        <v>52</v>
      </c>
      <c r="F479" s="16">
        <v>20000</v>
      </c>
      <c r="G479" s="16">
        <v>2000</v>
      </c>
      <c r="H479" s="12" t="s">
        <v>210</v>
      </c>
      <c r="I479" s="12" t="s">
        <v>210</v>
      </c>
      <c r="J479" s="12" t="s">
        <v>2505</v>
      </c>
    </row>
    <row r="480" spans="1:10" ht="26.4" customHeight="1">
      <c r="A480" s="12" t="s">
        <v>2506</v>
      </c>
      <c r="B480" s="14" t="s">
        <v>925</v>
      </c>
      <c r="C480" s="13" t="s">
        <v>59</v>
      </c>
      <c r="D480" s="12" t="s">
        <v>2507</v>
      </c>
      <c r="E480" s="12">
        <v>25</v>
      </c>
      <c r="F480" s="16">
        <v>7000</v>
      </c>
      <c r="G480" s="12">
        <v>500</v>
      </c>
      <c r="H480" s="16">
        <v>15000</v>
      </c>
      <c r="I480" s="12">
        <v>50</v>
      </c>
      <c r="J480" s="12" t="s">
        <v>2508</v>
      </c>
    </row>
    <row r="481" spans="1:10" ht="26.4" customHeight="1">
      <c r="A481" s="12" t="s">
        <v>2509</v>
      </c>
      <c r="B481" s="14" t="s">
        <v>925</v>
      </c>
      <c r="C481" s="13" t="s">
        <v>59</v>
      </c>
      <c r="D481" s="12" t="s">
        <v>2510</v>
      </c>
      <c r="E481" s="12">
        <v>48</v>
      </c>
      <c r="F481" s="16">
        <v>100000</v>
      </c>
      <c r="G481" s="16">
        <v>1550</v>
      </c>
      <c r="H481" s="16">
        <v>10000</v>
      </c>
      <c r="I481" s="12">
        <v>0</v>
      </c>
      <c r="J481" s="12" t="s">
        <v>2511</v>
      </c>
    </row>
    <row r="482" spans="1:10" ht="26.4" customHeight="1">
      <c r="A482" s="12" t="s">
        <v>2512</v>
      </c>
      <c r="B482" s="14" t="s">
        <v>925</v>
      </c>
      <c r="C482" s="13" t="s">
        <v>110</v>
      </c>
      <c r="D482" s="12" t="s">
        <v>2513</v>
      </c>
      <c r="E482" s="12">
        <v>60</v>
      </c>
      <c r="F482" s="16">
        <v>30000</v>
      </c>
      <c r="G482" s="16">
        <v>2220</v>
      </c>
      <c r="H482" s="12" t="s">
        <v>210</v>
      </c>
      <c r="I482" s="12" t="s">
        <v>210</v>
      </c>
      <c r="J482" s="12" t="s">
        <v>2514</v>
      </c>
    </row>
    <row r="483" spans="1:10" ht="26.4" customHeight="1">
      <c r="A483" s="12" t="s">
        <v>2515</v>
      </c>
      <c r="B483" s="14" t="s">
        <v>925</v>
      </c>
      <c r="C483" s="13" t="s">
        <v>59</v>
      </c>
      <c r="D483" s="12" t="s">
        <v>2516</v>
      </c>
      <c r="E483" s="12">
        <v>28</v>
      </c>
      <c r="F483" s="16">
        <v>15000</v>
      </c>
      <c r="G483" s="12">
        <v>950</v>
      </c>
      <c r="H483" s="16">
        <v>9000</v>
      </c>
      <c r="I483" s="12">
        <v>65</v>
      </c>
      <c r="J483" s="12" t="s">
        <v>2517</v>
      </c>
    </row>
    <row r="484" spans="1:10" ht="26.4" customHeight="1">
      <c r="A484" s="12" t="s">
        <v>2518</v>
      </c>
      <c r="B484" s="14" t="s">
        <v>925</v>
      </c>
      <c r="C484" s="13" t="s">
        <v>59</v>
      </c>
      <c r="D484" s="12" t="s">
        <v>2519</v>
      </c>
      <c r="E484" s="12" t="s">
        <v>2520</v>
      </c>
      <c r="F484" s="16">
        <v>10000</v>
      </c>
      <c r="G484" s="12">
        <v>770</v>
      </c>
      <c r="H484" s="16">
        <v>14000</v>
      </c>
      <c r="I484" s="12" t="s">
        <v>210</v>
      </c>
      <c r="J484" s="12" t="s">
        <v>2521</v>
      </c>
    </row>
    <row r="485" spans="1:10" ht="26.4" customHeight="1">
      <c r="A485" s="12" t="s">
        <v>2522</v>
      </c>
      <c r="B485" s="14" t="s">
        <v>925</v>
      </c>
      <c r="C485" s="13" t="s">
        <v>59</v>
      </c>
      <c r="D485" s="12" t="s">
        <v>2523</v>
      </c>
      <c r="E485" s="12" t="s">
        <v>2520</v>
      </c>
      <c r="F485" s="16">
        <v>9000</v>
      </c>
      <c r="G485" s="12">
        <v>800</v>
      </c>
      <c r="H485" s="16">
        <v>6000</v>
      </c>
      <c r="I485" s="12">
        <v>40</v>
      </c>
      <c r="J485" s="12" t="s">
        <v>949</v>
      </c>
    </row>
    <row r="486" spans="1:10" ht="26.4" customHeight="1">
      <c r="A486" s="12" t="s">
        <v>2524</v>
      </c>
      <c r="B486" s="14" t="s">
        <v>925</v>
      </c>
      <c r="C486" s="13" t="s">
        <v>59</v>
      </c>
      <c r="D486" s="12" t="s">
        <v>2525</v>
      </c>
      <c r="E486" s="12">
        <v>27</v>
      </c>
      <c r="F486" s="16">
        <v>10000</v>
      </c>
      <c r="G486" s="12">
        <v>830</v>
      </c>
      <c r="H486" s="16">
        <v>12000</v>
      </c>
      <c r="I486" s="12">
        <v>0</v>
      </c>
      <c r="J486" s="12" t="s">
        <v>2526</v>
      </c>
    </row>
    <row r="487" spans="1:10" ht="26.4" customHeight="1">
      <c r="A487" s="12" t="s">
        <v>2527</v>
      </c>
      <c r="B487" s="14" t="s">
        <v>925</v>
      </c>
      <c r="C487" s="13" t="s">
        <v>59</v>
      </c>
      <c r="D487" s="12" t="s">
        <v>2528</v>
      </c>
      <c r="E487" s="12">
        <v>39</v>
      </c>
      <c r="F487" s="16">
        <v>15000</v>
      </c>
      <c r="G487" s="16">
        <v>1100</v>
      </c>
      <c r="H487" s="16">
        <v>20000</v>
      </c>
      <c r="I487" s="12">
        <v>0</v>
      </c>
      <c r="J487" s="12" t="s">
        <v>2529</v>
      </c>
    </row>
    <row r="488" spans="1:10" ht="26.4" customHeight="1">
      <c r="A488" s="12" t="s">
        <v>2530</v>
      </c>
      <c r="B488" s="14" t="s">
        <v>925</v>
      </c>
      <c r="C488" s="13" t="s">
        <v>59</v>
      </c>
      <c r="D488" s="12" t="s">
        <v>2531</v>
      </c>
      <c r="E488" s="12">
        <v>15</v>
      </c>
      <c r="F488" s="16">
        <v>15000</v>
      </c>
      <c r="G488" s="12">
        <v>650</v>
      </c>
      <c r="H488" s="12" t="s">
        <v>210</v>
      </c>
      <c r="I488" s="12">
        <v>20</v>
      </c>
      <c r="J488" s="12" t="s">
        <v>2532</v>
      </c>
    </row>
    <row r="489" spans="1:10" ht="26.4" customHeight="1">
      <c r="A489" s="12" t="s">
        <v>2533</v>
      </c>
      <c r="B489" s="14" t="s">
        <v>925</v>
      </c>
      <c r="C489" s="12" t="s">
        <v>2534</v>
      </c>
      <c r="D489" s="12"/>
      <c r="E489" s="12">
        <v>51</v>
      </c>
      <c r="F489" s="16">
        <v>20000</v>
      </c>
      <c r="G489" s="16">
        <v>1500</v>
      </c>
      <c r="H489" s="12" t="s">
        <v>210</v>
      </c>
      <c r="I489" s="12" t="s">
        <v>210</v>
      </c>
      <c r="J489" s="12" t="s">
        <v>2535</v>
      </c>
    </row>
    <row r="490" spans="1:10" ht="26.4" customHeight="1">
      <c r="A490" s="12" t="s">
        <v>2536</v>
      </c>
      <c r="B490" s="14" t="s">
        <v>925</v>
      </c>
      <c r="C490" s="12" t="s">
        <v>110</v>
      </c>
      <c r="D490" s="12"/>
      <c r="E490" s="12">
        <v>55</v>
      </c>
      <c r="F490" s="16">
        <v>30000</v>
      </c>
      <c r="G490" s="16">
        <v>2500</v>
      </c>
      <c r="H490" s="12" t="s">
        <v>210</v>
      </c>
      <c r="I490" s="12" t="s">
        <v>210</v>
      </c>
      <c r="J490" s="12" t="s">
        <v>2537</v>
      </c>
    </row>
    <row r="491" spans="1:10" ht="26.4" customHeight="1">
      <c r="A491" s="12" t="s">
        <v>2538</v>
      </c>
      <c r="B491" s="14" t="s">
        <v>925</v>
      </c>
      <c r="C491" s="13" t="s">
        <v>563</v>
      </c>
      <c r="D491" s="12"/>
      <c r="E491" s="12">
        <v>36</v>
      </c>
      <c r="F491" s="16">
        <v>20000</v>
      </c>
      <c r="G491" s="16">
        <v>2100</v>
      </c>
      <c r="H491" s="12" t="s">
        <v>210</v>
      </c>
      <c r="I491" s="12">
        <v>0</v>
      </c>
      <c r="J491" s="12" t="s">
        <v>2539</v>
      </c>
    </row>
    <row r="492" spans="1:10" ht="26.4" customHeight="1">
      <c r="A492" s="12" t="s">
        <v>2540</v>
      </c>
      <c r="B492" s="14" t="s">
        <v>925</v>
      </c>
      <c r="C492" s="13" t="s">
        <v>59</v>
      </c>
      <c r="D492" s="12" t="s">
        <v>2541</v>
      </c>
      <c r="E492" s="12">
        <v>14</v>
      </c>
      <c r="F492" s="16">
        <v>15000</v>
      </c>
      <c r="G492" s="12">
        <v>570</v>
      </c>
      <c r="H492" s="12" t="s">
        <v>210</v>
      </c>
      <c r="I492" s="12">
        <v>30</v>
      </c>
      <c r="J492" s="12" t="s">
        <v>2542</v>
      </c>
    </row>
    <row r="493" spans="1:10" ht="26.4" customHeight="1">
      <c r="A493" s="12" t="s">
        <v>2543</v>
      </c>
      <c r="B493" s="14" t="s">
        <v>925</v>
      </c>
      <c r="C493" s="13" t="s">
        <v>563</v>
      </c>
      <c r="D493" s="12"/>
      <c r="E493" s="12">
        <v>9</v>
      </c>
      <c r="F493" s="16">
        <v>5000</v>
      </c>
      <c r="G493" s="12">
        <v>500</v>
      </c>
      <c r="H493" s="12" t="s">
        <v>210</v>
      </c>
      <c r="I493" s="12" t="s">
        <v>210</v>
      </c>
      <c r="J493" s="12" t="s">
        <v>2544</v>
      </c>
    </row>
    <row r="495" spans="1:10" ht="26.4" customHeight="1">
      <c r="A495" s="13" t="s">
        <v>0</v>
      </c>
      <c r="B495" s="13" t="s">
        <v>925</v>
      </c>
      <c r="C495" s="13" t="s">
        <v>1549</v>
      </c>
      <c r="D495" s="13" t="s">
        <v>1453</v>
      </c>
      <c r="E495" s="13" t="s">
        <v>3</v>
      </c>
      <c r="F495" s="13" t="s">
        <v>919</v>
      </c>
      <c r="G495" s="13" t="s">
        <v>1551</v>
      </c>
      <c r="H495" s="13" t="s">
        <v>921</v>
      </c>
      <c r="I495" s="13" t="s">
        <v>922</v>
      </c>
      <c r="J495" s="13" t="s">
        <v>8</v>
      </c>
    </row>
    <row r="496" spans="1:10" ht="26.4" customHeight="1">
      <c r="A496" s="12" t="s">
        <v>2545</v>
      </c>
      <c r="B496" s="14" t="s">
        <v>925</v>
      </c>
      <c r="C496" s="12" t="s">
        <v>59</v>
      </c>
      <c r="D496" s="12" t="s">
        <v>2546</v>
      </c>
      <c r="E496" s="12" t="s">
        <v>929</v>
      </c>
      <c r="F496" s="16">
        <v>10000</v>
      </c>
      <c r="G496" s="12">
        <v>400</v>
      </c>
      <c r="H496" s="12" t="s">
        <v>210</v>
      </c>
      <c r="I496" s="12" t="s">
        <v>210</v>
      </c>
      <c r="J496" s="12" t="s">
        <v>2547</v>
      </c>
    </row>
    <row r="497" spans="1:10" ht="26.4" customHeight="1">
      <c r="A497" s="12" t="s">
        <v>2548</v>
      </c>
      <c r="B497" s="14" t="s">
        <v>925</v>
      </c>
      <c r="C497" s="12" t="s">
        <v>59</v>
      </c>
      <c r="D497" s="12" t="s">
        <v>2549</v>
      </c>
      <c r="E497" s="12" t="s">
        <v>2550</v>
      </c>
      <c r="F497" s="16">
        <v>5000</v>
      </c>
      <c r="G497" s="12">
        <v>300</v>
      </c>
      <c r="H497" s="16">
        <v>4000</v>
      </c>
      <c r="I497" s="12" t="s">
        <v>210</v>
      </c>
      <c r="J497" s="12" t="s">
        <v>2551</v>
      </c>
    </row>
    <row r="498" spans="1:10" ht="26.4" customHeight="1">
      <c r="A498" s="12" t="s">
        <v>2552</v>
      </c>
      <c r="B498" s="14" t="s">
        <v>925</v>
      </c>
      <c r="C498" s="12" t="s">
        <v>59</v>
      </c>
      <c r="D498" s="12" t="s">
        <v>2553</v>
      </c>
      <c r="E498" s="12" t="s">
        <v>1313</v>
      </c>
      <c r="F498" s="16">
        <v>4000</v>
      </c>
      <c r="G498" s="12">
        <v>220</v>
      </c>
      <c r="H498" s="16">
        <v>7000</v>
      </c>
      <c r="I498" s="12">
        <v>20</v>
      </c>
      <c r="J498" s="12" t="s">
        <v>2554</v>
      </c>
    </row>
    <row r="499" spans="1:10" ht="26.4" customHeight="1">
      <c r="A499" s="12" t="s">
        <v>2552</v>
      </c>
      <c r="B499" s="14" t="s">
        <v>925</v>
      </c>
      <c r="C499" s="12" t="s">
        <v>59</v>
      </c>
      <c r="D499" s="12" t="s">
        <v>2555</v>
      </c>
      <c r="E499" s="12" t="s">
        <v>1313</v>
      </c>
      <c r="F499" s="16">
        <v>3500</v>
      </c>
      <c r="G499" s="12">
        <v>220</v>
      </c>
      <c r="H499" s="16">
        <v>15000</v>
      </c>
      <c r="I499" s="12">
        <v>20</v>
      </c>
      <c r="J499" s="12" t="s">
        <v>2556</v>
      </c>
    </row>
    <row r="500" spans="1:10" ht="26.4" customHeight="1">
      <c r="A500" s="12" t="s">
        <v>2557</v>
      </c>
      <c r="B500" s="14" t="s">
        <v>925</v>
      </c>
      <c r="C500" s="12" t="s">
        <v>59</v>
      </c>
      <c r="D500" s="12" t="s">
        <v>66</v>
      </c>
      <c r="E500" s="12" t="s">
        <v>1373</v>
      </c>
      <c r="F500" s="16">
        <v>7000</v>
      </c>
      <c r="G500" s="12">
        <v>450</v>
      </c>
      <c r="H500" s="12" t="s">
        <v>210</v>
      </c>
      <c r="I500" s="12">
        <v>27</v>
      </c>
      <c r="J500" s="12" t="s">
        <v>2558</v>
      </c>
    </row>
    <row r="501" spans="1:10" ht="26.4" customHeight="1">
      <c r="A501" s="12" t="s">
        <v>2559</v>
      </c>
      <c r="B501" s="14" t="s">
        <v>925</v>
      </c>
      <c r="C501" s="12" t="s">
        <v>59</v>
      </c>
      <c r="D501" s="12" t="s">
        <v>2560</v>
      </c>
      <c r="E501" s="12" t="s">
        <v>2561</v>
      </c>
      <c r="F501" s="16">
        <v>5000</v>
      </c>
      <c r="G501" s="12">
        <v>440</v>
      </c>
      <c r="H501" s="16">
        <v>15000</v>
      </c>
      <c r="I501" s="12" t="s">
        <v>210</v>
      </c>
      <c r="J501" s="12" t="s">
        <v>2562</v>
      </c>
    </row>
    <row r="502" spans="1:10" ht="26.4" customHeight="1">
      <c r="A502" s="12" t="s">
        <v>2563</v>
      </c>
      <c r="B502" s="14" t="s">
        <v>925</v>
      </c>
      <c r="C502" s="12" t="s">
        <v>2564</v>
      </c>
      <c r="D502" s="12" t="s">
        <v>2565</v>
      </c>
      <c r="E502" s="12" t="s">
        <v>2566</v>
      </c>
      <c r="F502" s="16">
        <v>10000</v>
      </c>
      <c r="G502" s="12">
        <v>450</v>
      </c>
      <c r="H502" s="16">
        <v>8000</v>
      </c>
      <c r="I502" s="12" t="s">
        <v>210</v>
      </c>
      <c r="J502" s="12" t="s">
        <v>2567</v>
      </c>
    </row>
    <row r="503" spans="1:10" ht="26.4" customHeight="1">
      <c r="A503" s="12" t="s">
        <v>2568</v>
      </c>
      <c r="B503" s="14" t="s">
        <v>925</v>
      </c>
      <c r="C503" s="12" t="s">
        <v>59</v>
      </c>
      <c r="D503" s="12" t="s">
        <v>2569</v>
      </c>
      <c r="E503" s="12" t="s">
        <v>2570</v>
      </c>
      <c r="F503" s="16">
        <v>10000</v>
      </c>
      <c r="G503" s="12">
        <v>800</v>
      </c>
      <c r="H503" s="12" t="s">
        <v>210</v>
      </c>
      <c r="I503" s="12" t="s">
        <v>210</v>
      </c>
      <c r="J503" s="12" t="s">
        <v>2571</v>
      </c>
    </row>
    <row r="504" spans="1:10" ht="26.4" customHeight="1">
      <c r="A504" s="12" t="s">
        <v>2572</v>
      </c>
      <c r="B504" s="14" t="s">
        <v>925</v>
      </c>
      <c r="C504" s="12" t="s">
        <v>59</v>
      </c>
      <c r="D504" s="12" t="s">
        <v>2573</v>
      </c>
      <c r="E504" s="12" t="s">
        <v>1369</v>
      </c>
      <c r="F504" s="16">
        <v>8000</v>
      </c>
      <c r="G504" s="12">
        <v>550</v>
      </c>
      <c r="H504" s="16">
        <v>18000</v>
      </c>
      <c r="I504" s="12" t="s">
        <v>210</v>
      </c>
      <c r="J504" s="12" t="s">
        <v>2574</v>
      </c>
    </row>
    <row r="505" spans="1:10" ht="26.4" customHeight="1">
      <c r="A505" s="12" t="s">
        <v>2575</v>
      </c>
      <c r="B505" s="14" t="s">
        <v>925</v>
      </c>
      <c r="C505" s="12" t="s">
        <v>59</v>
      </c>
      <c r="D505" s="12" t="s">
        <v>2576</v>
      </c>
      <c r="E505" s="12" t="s">
        <v>943</v>
      </c>
      <c r="F505" s="16">
        <v>3500</v>
      </c>
      <c r="G505" s="12">
        <v>330</v>
      </c>
      <c r="H505" s="16">
        <v>20000</v>
      </c>
      <c r="I505" s="12" t="s">
        <v>210</v>
      </c>
      <c r="J505" s="12" t="s">
        <v>210</v>
      </c>
    </row>
    <row r="506" spans="1:10" ht="26.4" customHeight="1">
      <c r="A506" s="12" t="s">
        <v>2577</v>
      </c>
      <c r="B506" s="14" t="s">
        <v>925</v>
      </c>
      <c r="C506" s="12" t="s">
        <v>59</v>
      </c>
      <c r="D506" s="12" t="s">
        <v>2578</v>
      </c>
      <c r="E506" s="12" t="s">
        <v>936</v>
      </c>
      <c r="F506" s="16">
        <v>5000</v>
      </c>
      <c r="G506" s="12">
        <v>300</v>
      </c>
      <c r="H506" s="16">
        <v>3000</v>
      </c>
      <c r="I506" s="12" t="s">
        <v>210</v>
      </c>
      <c r="J506" s="12" t="s">
        <v>2579</v>
      </c>
    </row>
    <row r="507" spans="1:10" ht="26.4" customHeight="1">
      <c r="A507" s="12" t="s">
        <v>2580</v>
      </c>
      <c r="B507" s="14" t="s">
        <v>925</v>
      </c>
      <c r="C507" s="12" t="s">
        <v>59</v>
      </c>
      <c r="D507" s="12" t="s">
        <v>2581</v>
      </c>
      <c r="E507" s="12" t="s">
        <v>1001</v>
      </c>
      <c r="F507" s="16">
        <v>2000</v>
      </c>
      <c r="G507" s="12">
        <v>120</v>
      </c>
      <c r="H507" s="12" t="s">
        <v>210</v>
      </c>
      <c r="I507" s="12">
        <v>10</v>
      </c>
      <c r="J507" s="12" t="s">
        <v>2571</v>
      </c>
    </row>
    <row r="508" spans="1:10" ht="26.4" customHeight="1">
      <c r="A508" s="12" t="s">
        <v>2582</v>
      </c>
      <c r="B508" s="14" t="s">
        <v>925</v>
      </c>
      <c r="C508" s="12" t="s">
        <v>59</v>
      </c>
      <c r="D508" s="12" t="s">
        <v>66</v>
      </c>
      <c r="E508" s="12" t="s">
        <v>2583</v>
      </c>
      <c r="F508" s="16">
        <v>6000</v>
      </c>
      <c r="G508" s="12">
        <v>260</v>
      </c>
      <c r="H508" s="12" t="s">
        <v>210</v>
      </c>
      <c r="I508" s="12" t="s">
        <v>210</v>
      </c>
      <c r="J508" s="12" t="s">
        <v>2584</v>
      </c>
    </row>
    <row r="509" spans="1:10" ht="26.4" customHeight="1">
      <c r="A509" s="12" t="s">
        <v>2585</v>
      </c>
      <c r="B509" s="14" t="s">
        <v>925</v>
      </c>
      <c r="C509" s="12" t="s">
        <v>59</v>
      </c>
      <c r="D509" s="12" t="s">
        <v>2586</v>
      </c>
      <c r="E509" s="12" t="s">
        <v>1001</v>
      </c>
      <c r="F509" s="16">
        <v>5000</v>
      </c>
      <c r="G509" s="12">
        <v>350</v>
      </c>
      <c r="H509" s="16">
        <v>3000</v>
      </c>
      <c r="I509" s="12" t="s">
        <v>210</v>
      </c>
      <c r="J509" s="12" t="s">
        <v>2587</v>
      </c>
    </row>
    <row r="510" spans="1:10" ht="26.4" customHeight="1">
      <c r="A510" s="12" t="s">
        <v>2588</v>
      </c>
      <c r="B510" s="14" t="s">
        <v>925</v>
      </c>
      <c r="C510" s="12" t="s">
        <v>59</v>
      </c>
      <c r="D510" s="12" t="s">
        <v>2589</v>
      </c>
      <c r="E510" s="12" t="s">
        <v>2590</v>
      </c>
      <c r="F510" s="16">
        <v>3000</v>
      </c>
      <c r="G510" s="12">
        <v>250</v>
      </c>
      <c r="H510" s="16">
        <v>4000</v>
      </c>
      <c r="I510" s="12" t="s">
        <v>210</v>
      </c>
      <c r="J510" s="12" t="s">
        <v>2591</v>
      </c>
    </row>
    <row r="511" spans="1:10" ht="26.4" customHeight="1">
      <c r="A511" s="12" t="s">
        <v>2592</v>
      </c>
      <c r="B511" s="14" t="s">
        <v>925</v>
      </c>
      <c r="C511" s="12" t="s">
        <v>59</v>
      </c>
      <c r="D511" s="12" t="s">
        <v>66</v>
      </c>
      <c r="E511" s="12" t="s">
        <v>1701</v>
      </c>
      <c r="F511" s="16">
        <v>5000</v>
      </c>
      <c r="G511" s="12">
        <v>390</v>
      </c>
      <c r="H511" s="12" t="s">
        <v>210</v>
      </c>
      <c r="I511" s="12" t="s">
        <v>210</v>
      </c>
      <c r="J511" s="12" t="s">
        <v>2593</v>
      </c>
    </row>
    <row r="512" spans="1:10" ht="26.4" customHeight="1">
      <c r="A512" s="12" t="s">
        <v>2594</v>
      </c>
      <c r="B512" s="14" t="s">
        <v>925</v>
      </c>
      <c r="C512" s="12" t="s">
        <v>59</v>
      </c>
      <c r="D512" s="12" t="s">
        <v>2595</v>
      </c>
      <c r="E512" s="12" t="s">
        <v>1026</v>
      </c>
      <c r="F512" s="16">
        <v>10000</v>
      </c>
      <c r="G512" s="12">
        <v>800</v>
      </c>
      <c r="H512" s="16">
        <v>2000</v>
      </c>
      <c r="I512" s="12">
        <v>35</v>
      </c>
      <c r="J512" s="12" t="s">
        <v>210</v>
      </c>
    </row>
    <row r="513" spans="1:10" ht="26.4" customHeight="1">
      <c r="A513" s="12" t="s">
        <v>2596</v>
      </c>
      <c r="B513" s="14" t="s">
        <v>925</v>
      </c>
      <c r="C513" s="12" t="s">
        <v>59</v>
      </c>
      <c r="D513" s="12" t="s">
        <v>2597</v>
      </c>
      <c r="E513" s="12" t="s">
        <v>2598</v>
      </c>
      <c r="F513" s="16">
        <v>25000</v>
      </c>
      <c r="G513" s="16">
        <v>1600</v>
      </c>
      <c r="H513" s="16">
        <v>7000</v>
      </c>
      <c r="I513" s="12" t="s">
        <v>210</v>
      </c>
      <c r="J513" s="12" t="s">
        <v>2599</v>
      </c>
    </row>
    <row r="514" spans="1:10" ht="26.4" customHeight="1">
      <c r="A514" s="12" t="s">
        <v>2600</v>
      </c>
      <c r="B514" s="14" t="s">
        <v>925</v>
      </c>
      <c r="C514" s="12" t="s">
        <v>2534</v>
      </c>
      <c r="D514" s="12" t="s">
        <v>2601</v>
      </c>
      <c r="E514" s="12" t="s">
        <v>978</v>
      </c>
      <c r="F514" s="16">
        <v>8000</v>
      </c>
      <c r="G514" s="12">
        <v>550</v>
      </c>
      <c r="H514" s="16">
        <v>24000</v>
      </c>
      <c r="I514" s="12" t="s">
        <v>210</v>
      </c>
      <c r="J514" s="12" t="s">
        <v>2602</v>
      </c>
    </row>
    <row r="515" spans="1:10" ht="26.4" customHeight="1">
      <c r="A515" s="12" t="s">
        <v>2603</v>
      </c>
      <c r="B515" s="14" t="s">
        <v>925</v>
      </c>
      <c r="C515" s="12" t="s">
        <v>59</v>
      </c>
      <c r="D515" s="12" t="s">
        <v>2604</v>
      </c>
      <c r="E515" s="12" t="s">
        <v>1310</v>
      </c>
      <c r="F515" s="16">
        <v>20000</v>
      </c>
      <c r="G515" s="16">
        <v>1000</v>
      </c>
      <c r="H515" s="16">
        <v>8000</v>
      </c>
      <c r="I515" s="12" t="s">
        <v>210</v>
      </c>
      <c r="J515" s="12" t="s">
        <v>2605</v>
      </c>
    </row>
    <row r="517" spans="1:10" ht="26.4" customHeight="1">
      <c r="A517" s="13" t="s">
        <v>0</v>
      </c>
      <c r="B517" s="13" t="s">
        <v>2647</v>
      </c>
      <c r="C517" s="13" t="s">
        <v>2</v>
      </c>
      <c r="D517" s="13" t="s">
        <v>1453</v>
      </c>
      <c r="E517" s="13" t="s">
        <v>3</v>
      </c>
      <c r="F517" s="13" t="s">
        <v>919</v>
      </c>
      <c r="G517" s="13" t="s">
        <v>920</v>
      </c>
      <c r="H517" s="13" t="s">
        <v>921</v>
      </c>
      <c r="I517" s="13" t="s">
        <v>922</v>
      </c>
      <c r="J517" s="13" t="s">
        <v>8</v>
      </c>
    </row>
    <row r="518" spans="1:10" ht="26.4" customHeight="1">
      <c r="A518" s="12" t="s">
        <v>2606</v>
      </c>
      <c r="B518" s="14" t="s">
        <v>925</v>
      </c>
      <c r="C518" s="12" t="s">
        <v>59</v>
      </c>
      <c r="D518" s="12" t="s">
        <v>2607</v>
      </c>
      <c r="E518" s="12">
        <v>37</v>
      </c>
      <c r="F518" s="12">
        <v>10000</v>
      </c>
      <c r="G518" s="12">
        <v>650</v>
      </c>
      <c r="H518" s="12">
        <v>14000</v>
      </c>
      <c r="I518" s="12" t="s">
        <v>210</v>
      </c>
      <c r="J518" s="12" t="s">
        <v>2608</v>
      </c>
    </row>
    <row r="519" spans="1:10" ht="26.4" customHeight="1">
      <c r="A519" s="12" t="s">
        <v>2609</v>
      </c>
      <c r="B519" s="14" t="s">
        <v>925</v>
      </c>
      <c r="C519" s="12" t="s">
        <v>59</v>
      </c>
      <c r="D519" s="12" t="s">
        <v>2610</v>
      </c>
      <c r="E519" s="12">
        <v>42</v>
      </c>
      <c r="F519" s="12">
        <v>10000</v>
      </c>
      <c r="G519" s="12">
        <v>720</v>
      </c>
      <c r="H519" s="12">
        <v>10000</v>
      </c>
      <c r="I519" s="12">
        <v>90</v>
      </c>
      <c r="J519" s="12" t="s">
        <v>2611</v>
      </c>
    </row>
    <row r="520" spans="1:10" ht="26.4" customHeight="1">
      <c r="A520" s="12" t="s">
        <v>2612</v>
      </c>
      <c r="B520" s="14" t="s">
        <v>925</v>
      </c>
      <c r="C520" s="12" t="s">
        <v>59</v>
      </c>
      <c r="D520" s="12" t="s">
        <v>2613</v>
      </c>
      <c r="E520" s="12">
        <v>35</v>
      </c>
      <c r="F520" s="12">
        <v>20000</v>
      </c>
      <c r="G520" s="12">
        <v>1390</v>
      </c>
      <c r="H520" s="12">
        <v>13000</v>
      </c>
      <c r="I520" s="12">
        <v>100</v>
      </c>
      <c r="J520" s="12" t="s">
        <v>2614</v>
      </c>
    </row>
    <row r="521" spans="1:10" ht="26.4" customHeight="1">
      <c r="A521" s="12" t="s">
        <v>2615</v>
      </c>
      <c r="B521" s="14" t="s">
        <v>925</v>
      </c>
      <c r="C521" s="12" t="s">
        <v>59</v>
      </c>
      <c r="D521" s="12" t="s">
        <v>2616</v>
      </c>
      <c r="E521" s="12">
        <v>25</v>
      </c>
      <c r="F521" s="12">
        <v>5000</v>
      </c>
      <c r="G521" s="12">
        <v>250</v>
      </c>
      <c r="H521" s="12">
        <v>2000</v>
      </c>
      <c r="I521" s="12">
        <v>315</v>
      </c>
      <c r="J521" s="12" t="s">
        <v>2617</v>
      </c>
    </row>
    <row r="522" spans="1:10" ht="26.4" customHeight="1">
      <c r="A522" s="12" t="s">
        <v>2618</v>
      </c>
      <c r="B522" s="14" t="s">
        <v>925</v>
      </c>
      <c r="C522" s="12" t="s">
        <v>59</v>
      </c>
      <c r="D522" s="12" t="s">
        <v>2619</v>
      </c>
      <c r="E522" s="12">
        <v>43</v>
      </c>
      <c r="F522" s="12">
        <v>10000</v>
      </c>
      <c r="G522" s="12">
        <v>910</v>
      </c>
      <c r="H522" s="12">
        <v>12000</v>
      </c>
      <c r="I522" s="12" t="s">
        <v>210</v>
      </c>
      <c r="J522" s="12" t="s">
        <v>2620</v>
      </c>
    </row>
    <row r="523" spans="1:10" ht="26.4" customHeight="1">
      <c r="A523" s="12" t="s">
        <v>2621</v>
      </c>
      <c r="B523" s="14" t="s">
        <v>925</v>
      </c>
      <c r="C523" s="12" t="s">
        <v>59</v>
      </c>
      <c r="D523" s="12" t="s">
        <v>2063</v>
      </c>
      <c r="E523" s="12">
        <v>20</v>
      </c>
      <c r="F523" s="12">
        <v>7000</v>
      </c>
      <c r="G523" s="12">
        <v>500</v>
      </c>
      <c r="H523" s="12">
        <v>25000</v>
      </c>
      <c r="I523" s="12">
        <v>50</v>
      </c>
      <c r="J523" s="12" t="s">
        <v>2622</v>
      </c>
    </row>
    <row r="524" spans="1:10" ht="26.4" customHeight="1">
      <c r="A524" s="12" t="s">
        <v>2623</v>
      </c>
      <c r="B524" s="14" t="s">
        <v>925</v>
      </c>
      <c r="C524" s="12" t="s">
        <v>59</v>
      </c>
      <c r="D524" s="12" t="s">
        <v>2624</v>
      </c>
      <c r="E524" s="12">
        <v>30</v>
      </c>
      <c r="F524" s="12">
        <v>7000</v>
      </c>
      <c r="G524" s="12">
        <v>630</v>
      </c>
      <c r="H524" s="12">
        <v>12000</v>
      </c>
      <c r="I524" s="12">
        <v>90</v>
      </c>
      <c r="J524" s="12" t="s">
        <v>2625</v>
      </c>
    </row>
    <row r="525" spans="1:10" ht="26.4" customHeight="1">
      <c r="A525" s="12" t="s">
        <v>2626</v>
      </c>
      <c r="B525" s="14" t="s">
        <v>925</v>
      </c>
      <c r="C525" s="12" t="s">
        <v>59</v>
      </c>
      <c r="D525" s="12" t="s">
        <v>1535</v>
      </c>
      <c r="E525" s="12">
        <v>28.8</v>
      </c>
      <c r="F525" s="12">
        <v>6000</v>
      </c>
      <c r="G525" s="12">
        <v>300</v>
      </c>
      <c r="H525" s="12">
        <v>0</v>
      </c>
      <c r="I525" s="12">
        <v>50</v>
      </c>
      <c r="J525" s="12" t="s">
        <v>2627</v>
      </c>
    </row>
    <row r="526" spans="1:10" ht="26.4" customHeight="1">
      <c r="A526" s="12" t="s">
        <v>2628</v>
      </c>
      <c r="B526" s="14" t="s">
        <v>925</v>
      </c>
      <c r="C526" s="12" t="s">
        <v>59</v>
      </c>
      <c r="D526" s="12" t="s">
        <v>2629</v>
      </c>
      <c r="E526" s="12">
        <v>54</v>
      </c>
      <c r="F526" s="12">
        <v>6000</v>
      </c>
      <c r="G526" s="12">
        <v>600</v>
      </c>
      <c r="H526" s="12">
        <v>15000</v>
      </c>
      <c r="I526" s="12">
        <v>170</v>
      </c>
      <c r="J526" s="12" t="s">
        <v>2630</v>
      </c>
    </row>
    <row r="527" spans="1:10" ht="26.4" customHeight="1">
      <c r="A527" s="12" t="s">
        <v>2631</v>
      </c>
      <c r="B527" s="14" t="s">
        <v>925</v>
      </c>
      <c r="C527" s="12" t="s">
        <v>59</v>
      </c>
      <c r="D527" s="12" t="s">
        <v>2632</v>
      </c>
      <c r="E527" s="12">
        <v>44</v>
      </c>
      <c r="F527" s="12">
        <v>5000</v>
      </c>
      <c r="G527" s="12">
        <v>467</v>
      </c>
      <c r="H527" s="12">
        <v>5000</v>
      </c>
      <c r="I527" s="12">
        <v>170</v>
      </c>
      <c r="J527" s="12" t="s">
        <v>2633</v>
      </c>
    </row>
    <row r="528" spans="1:10" ht="26.4" customHeight="1">
      <c r="A528" s="12" t="s">
        <v>2634</v>
      </c>
      <c r="B528" s="14" t="s">
        <v>925</v>
      </c>
      <c r="C528" s="12" t="s">
        <v>59</v>
      </c>
      <c r="D528" s="12" t="s">
        <v>2635</v>
      </c>
      <c r="E528" s="12">
        <v>35</v>
      </c>
      <c r="F528" s="12">
        <v>5000</v>
      </c>
      <c r="G528" s="12">
        <v>400</v>
      </c>
      <c r="H528" s="12">
        <v>5000</v>
      </c>
      <c r="I528" s="12">
        <v>25</v>
      </c>
      <c r="J528" s="12" t="s">
        <v>2636</v>
      </c>
    </row>
    <row r="529" spans="1:10" ht="26.4" customHeight="1">
      <c r="A529" s="12" t="s">
        <v>345</v>
      </c>
      <c r="B529" s="14" t="s">
        <v>925</v>
      </c>
      <c r="C529" s="12" t="s">
        <v>59</v>
      </c>
      <c r="D529" s="12" t="s">
        <v>2637</v>
      </c>
      <c r="E529" s="12">
        <v>40</v>
      </c>
      <c r="F529" s="12">
        <v>5000</v>
      </c>
      <c r="G529" s="12">
        <v>400</v>
      </c>
      <c r="H529" s="12">
        <v>12000</v>
      </c>
      <c r="I529" s="12" t="s">
        <v>210</v>
      </c>
      <c r="J529" s="12" t="s">
        <v>2008</v>
      </c>
    </row>
    <row r="530" spans="1:10" ht="26.4" customHeight="1">
      <c r="A530" s="12" t="s">
        <v>2638</v>
      </c>
      <c r="B530" s="14" t="s">
        <v>925</v>
      </c>
      <c r="C530" s="12" t="s">
        <v>59</v>
      </c>
      <c r="D530" s="12" t="s">
        <v>2639</v>
      </c>
      <c r="E530" s="12">
        <v>41</v>
      </c>
      <c r="F530" s="12">
        <v>20000</v>
      </c>
      <c r="G530" s="12">
        <v>700</v>
      </c>
      <c r="H530" s="12">
        <v>0</v>
      </c>
      <c r="I530" s="12">
        <v>70</v>
      </c>
      <c r="J530" s="12" t="s">
        <v>2640</v>
      </c>
    </row>
    <row r="531" spans="1:10" ht="26.4" customHeight="1">
      <c r="A531" s="12" t="s">
        <v>349</v>
      </c>
      <c r="B531" s="14" t="s">
        <v>925</v>
      </c>
      <c r="C531" s="12" t="s">
        <v>59</v>
      </c>
      <c r="D531" s="12" t="s">
        <v>2641</v>
      </c>
      <c r="E531" s="12">
        <v>56</v>
      </c>
      <c r="F531" s="12">
        <v>6000</v>
      </c>
      <c r="G531" s="12">
        <v>380</v>
      </c>
      <c r="H531" s="12">
        <v>8000</v>
      </c>
      <c r="I531" s="12">
        <v>20</v>
      </c>
      <c r="J531" s="12" t="s">
        <v>2642</v>
      </c>
    </row>
    <row r="532" spans="1:10" ht="26.4" customHeight="1">
      <c r="A532" s="12" t="s">
        <v>2643</v>
      </c>
      <c r="B532" s="14" t="s">
        <v>925</v>
      </c>
      <c r="C532" s="12" t="s">
        <v>59</v>
      </c>
      <c r="D532" s="12" t="s">
        <v>2644</v>
      </c>
      <c r="E532" s="12">
        <v>45</v>
      </c>
      <c r="F532" s="12">
        <v>8000</v>
      </c>
      <c r="G532" s="12">
        <v>490</v>
      </c>
      <c r="H532" s="12">
        <v>8000</v>
      </c>
      <c r="I532" s="12">
        <v>20</v>
      </c>
      <c r="J532" s="12" t="s">
        <v>1987</v>
      </c>
    </row>
    <row r="533" spans="1:10" ht="26.4" customHeight="1">
      <c r="A533" s="12" t="s">
        <v>2645</v>
      </c>
      <c r="B533" s="14" t="s">
        <v>960</v>
      </c>
      <c r="C533" s="12" t="s">
        <v>59</v>
      </c>
      <c r="D533" s="12" t="s">
        <v>210</v>
      </c>
      <c r="E533" s="12">
        <v>40</v>
      </c>
      <c r="F533" s="12">
        <v>10000</v>
      </c>
      <c r="G533" s="12">
        <v>525</v>
      </c>
      <c r="H533" s="12">
        <v>0</v>
      </c>
      <c r="I533" s="12">
        <v>56</v>
      </c>
      <c r="J533" s="12" t="s">
        <v>2646</v>
      </c>
    </row>
    <row r="535" spans="1:10" ht="26.4" customHeight="1">
      <c r="A535" s="13" t="s">
        <v>0</v>
      </c>
      <c r="B535" s="13" t="s">
        <v>2647</v>
      </c>
      <c r="C535" s="13" t="s">
        <v>2</v>
      </c>
      <c r="D535" s="13" t="s">
        <v>1453</v>
      </c>
      <c r="E535" s="13" t="s">
        <v>3</v>
      </c>
      <c r="F535" s="13" t="s">
        <v>919</v>
      </c>
      <c r="G535" s="13" t="s">
        <v>920</v>
      </c>
      <c r="H535" s="13" t="s">
        <v>921</v>
      </c>
      <c r="I535" s="13" t="s">
        <v>922</v>
      </c>
      <c r="J535" s="13" t="s">
        <v>8</v>
      </c>
    </row>
    <row r="536" spans="1:10" ht="26.4" customHeight="1">
      <c r="A536" s="12" t="s">
        <v>2648</v>
      </c>
      <c r="B536" s="14" t="s">
        <v>925</v>
      </c>
      <c r="C536" s="12" t="s">
        <v>59</v>
      </c>
      <c r="D536" s="12" t="s">
        <v>210</v>
      </c>
      <c r="E536" s="12">
        <v>85</v>
      </c>
      <c r="F536" s="12">
        <v>15000</v>
      </c>
      <c r="G536" s="12">
        <v>1000</v>
      </c>
      <c r="H536" s="12">
        <v>0</v>
      </c>
      <c r="I536" s="12">
        <v>48</v>
      </c>
      <c r="J536" s="12" t="s">
        <v>2649</v>
      </c>
    </row>
    <row r="537" spans="1:10" ht="26.4" customHeight="1">
      <c r="A537" s="12" t="s">
        <v>2650</v>
      </c>
      <c r="B537" s="14" t="s">
        <v>925</v>
      </c>
      <c r="C537" s="12" t="s">
        <v>59</v>
      </c>
      <c r="D537" s="12" t="s">
        <v>2651</v>
      </c>
      <c r="E537" s="12">
        <v>30</v>
      </c>
      <c r="F537" s="12">
        <v>8000</v>
      </c>
      <c r="G537" s="12">
        <v>510</v>
      </c>
      <c r="H537" s="12">
        <v>12000</v>
      </c>
      <c r="I537" s="12">
        <v>70</v>
      </c>
      <c r="J537" s="12" t="s">
        <v>2652</v>
      </c>
    </row>
    <row r="538" spans="1:10" ht="26.4" customHeight="1">
      <c r="A538" s="12" t="s">
        <v>2653</v>
      </c>
      <c r="B538" s="14" t="s">
        <v>925</v>
      </c>
      <c r="C538" s="12" t="s">
        <v>59</v>
      </c>
      <c r="D538" s="12" t="s">
        <v>66</v>
      </c>
      <c r="E538" s="12">
        <v>58</v>
      </c>
      <c r="F538" s="12">
        <v>5000</v>
      </c>
      <c r="G538" s="12">
        <v>750</v>
      </c>
      <c r="H538" s="12">
        <v>0</v>
      </c>
      <c r="I538" s="12">
        <v>25</v>
      </c>
      <c r="J538" s="12" t="s">
        <v>2654</v>
      </c>
    </row>
    <row r="539" spans="1:10" ht="26.4" customHeight="1">
      <c r="A539" s="12" t="s">
        <v>108</v>
      </c>
      <c r="B539" s="14" t="s">
        <v>925</v>
      </c>
      <c r="C539" s="12" t="s">
        <v>110</v>
      </c>
      <c r="D539" s="12" t="s">
        <v>2259</v>
      </c>
      <c r="E539" s="12">
        <v>50</v>
      </c>
      <c r="F539" s="12">
        <v>10000</v>
      </c>
      <c r="G539" s="12">
        <v>525</v>
      </c>
      <c r="H539" s="12">
        <v>0</v>
      </c>
      <c r="I539" s="12" t="s">
        <v>210</v>
      </c>
      <c r="J539" s="12" t="s">
        <v>2655</v>
      </c>
    </row>
    <row r="540" spans="1:10" ht="26.4" customHeight="1">
      <c r="A540" s="12" t="s">
        <v>2656</v>
      </c>
      <c r="B540" s="14" t="s">
        <v>925</v>
      </c>
      <c r="C540" s="12" t="s">
        <v>59</v>
      </c>
      <c r="D540" s="12" t="s">
        <v>210</v>
      </c>
      <c r="E540" s="12">
        <v>69</v>
      </c>
      <c r="F540" s="12">
        <v>7629</v>
      </c>
      <c r="G540" s="12" t="s">
        <v>2657</v>
      </c>
      <c r="H540" s="12">
        <v>0</v>
      </c>
      <c r="I540" s="12" t="s">
        <v>2658</v>
      </c>
      <c r="J540" s="12" t="s">
        <v>2659</v>
      </c>
    </row>
    <row r="541" spans="1:10" ht="26.4" customHeight="1">
      <c r="A541" s="12" t="s">
        <v>296</v>
      </c>
      <c r="B541" s="14" t="s">
        <v>925</v>
      </c>
      <c r="C541" s="12" t="s">
        <v>59</v>
      </c>
      <c r="D541" s="12" t="s">
        <v>2660</v>
      </c>
      <c r="E541" s="12">
        <v>25</v>
      </c>
      <c r="F541" s="12">
        <v>10500</v>
      </c>
      <c r="G541" s="12">
        <v>430</v>
      </c>
      <c r="H541" s="12">
        <v>0</v>
      </c>
      <c r="I541" s="12" t="s">
        <v>210</v>
      </c>
      <c r="J541" s="12" t="s">
        <v>2661</v>
      </c>
    </row>
    <row r="542" spans="1:10" ht="26.4" customHeight="1">
      <c r="A542" s="12" t="s">
        <v>2662</v>
      </c>
      <c r="B542" s="14" t="s">
        <v>925</v>
      </c>
      <c r="C542" s="12" t="s">
        <v>59</v>
      </c>
      <c r="D542" s="12" t="s">
        <v>2663</v>
      </c>
      <c r="E542" s="12">
        <v>50</v>
      </c>
      <c r="F542" s="12">
        <v>15000</v>
      </c>
      <c r="G542" s="12">
        <v>1500</v>
      </c>
      <c r="H542" s="12">
        <v>0</v>
      </c>
      <c r="I542" s="12" t="s">
        <v>2664</v>
      </c>
      <c r="J542" s="12" t="s">
        <v>2665</v>
      </c>
    </row>
    <row r="543" spans="1:10" ht="26.4" customHeight="1">
      <c r="A543" s="12" t="s">
        <v>298</v>
      </c>
      <c r="B543" s="14" t="s">
        <v>925</v>
      </c>
      <c r="C543" s="12" t="s">
        <v>110</v>
      </c>
      <c r="D543" s="12" t="s">
        <v>2666</v>
      </c>
      <c r="E543" s="12">
        <v>67.31</v>
      </c>
      <c r="F543" s="12">
        <v>8000</v>
      </c>
      <c r="G543" s="12">
        <v>550</v>
      </c>
      <c r="H543" s="12">
        <v>3000</v>
      </c>
      <c r="I543" s="12" t="s">
        <v>210</v>
      </c>
      <c r="J543" s="12" t="s">
        <v>2667</v>
      </c>
    </row>
    <row r="544" spans="1:10" ht="26.4" customHeight="1">
      <c r="A544" s="12" t="s">
        <v>302</v>
      </c>
      <c r="B544" s="14" t="s">
        <v>925</v>
      </c>
      <c r="C544" s="12" t="s">
        <v>304</v>
      </c>
      <c r="D544" s="12" t="s">
        <v>2668</v>
      </c>
      <c r="E544" s="12">
        <v>64</v>
      </c>
      <c r="F544" s="12">
        <v>7000</v>
      </c>
      <c r="G544" s="12">
        <v>300</v>
      </c>
      <c r="H544" s="12">
        <v>5000</v>
      </c>
      <c r="I544" s="12" t="s">
        <v>210</v>
      </c>
      <c r="J544" s="12" t="s">
        <v>2669</v>
      </c>
    </row>
    <row r="545" spans="1:10" ht="26.4" customHeight="1">
      <c r="A545" s="12" t="s">
        <v>307</v>
      </c>
      <c r="B545" s="14" t="s">
        <v>925</v>
      </c>
      <c r="C545" s="12" t="s">
        <v>59</v>
      </c>
      <c r="D545" s="12" t="s">
        <v>2670</v>
      </c>
      <c r="E545" s="12">
        <v>26</v>
      </c>
      <c r="F545" s="12">
        <v>4000</v>
      </c>
      <c r="G545" s="12">
        <v>250</v>
      </c>
      <c r="H545" s="12">
        <v>4000</v>
      </c>
      <c r="I545" s="12" t="s">
        <v>210</v>
      </c>
      <c r="J545" s="12" t="s">
        <v>2671</v>
      </c>
    </row>
    <row r="546" spans="1:10" ht="26.4" customHeight="1">
      <c r="A546" s="12" t="s">
        <v>310</v>
      </c>
      <c r="B546" s="14" t="s">
        <v>925</v>
      </c>
      <c r="C546" s="12" t="s">
        <v>59</v>
      </c>
      <c r="D546" s="12" t="s">
        <v>2672</v>
      </c>
      <c r="E546" s="12">
        <v>30</v>
      </c>
      <c r="F546" s="12">
        <v>7000</v>
      </c>
      <c r="G546" s="12">
        <v>270</v>
      </c>
      <c r="H546" s="12">
        <v>8000</v>
      </c>
      <c r="I546" s="12" t="s">
        <v>210</v>
      </c>
      <c r="J546" s="12" t="s">
        <v>210</v>
      </c>
    </row>
    <row r="547" spans="1:10" ht="26.4" customHeight="1">
      <c r="A547" s="12" t="s">
        <v>312</v>
      </c>
      <c r="B547" s="14" t="s">
        <v>925</v>
      </c>
      <c r="C547" s="12" t="s">
        <v>59</v>
      </c>
      <c r="D547" s="12" t="s">
        <v>2673</v>
      </c>
      <c r="E547" s="12">
        <v>33</v>
      </c>
      <c r="F547" s="12">
        <v>7500</v>
      </c>
      <c r="G547" s="12">
        <v>282</v>
      </c>
      <c r="H547" s="12">
        <v>9000</v>
      </c>
      <c r="I547" s="12" t="s">
        <v>210</v>
      </c>
      <c r="J547" s="12" t="s">
        <v>210</v>
      </c>
    </row>
    <row r="548" spans="1:10" ht="26.4" customHeight="1">
      <c r="A548" s="12" t="s">
        <v>315</v>
      </c>
      <c r="B548" s="14" t="s">
        <v>925</v>
      </c>
      <c r="C548" s="12" t="s">
        <v>110</v>
      </c>
      <c r="D548" s="12" t="s">
        <v>2674</v>
      </c>
      <c r="E548" s="12">
        <v>43</v>
      </c>
      <c r="F548" s="12">
        <v>10000</v>
      </c>
      <c r="G548" s="12">
        <v>450</v>
      </c>
      <c r="H548" s="12">
        <v>10000</v>
      </c>
      <c r="I548" s="12" t="s">
        <v>210</v>
      </c>
      <c r="J548" s="12" t="s">
        <v>210</v>
      </c>
    </row>
    <row r="549" spans="1:10" ht="26.4" customHeight="1">
      <c r="A549" s="12" t="s">
        <v>2675</v>
      </c>
      <c r="B549" s="14" t="s">
        <v>925</v>
      </c>
      <c r="C549" s="12" t="s">
        <v>59</v>
      </c>
      <c r="D549" s="12" t="s">
        <v>2676</v>
      </c>
      <c r="E549" s="12">
        <v>13.5</v>
      </c>
      <c r="F549" s="12">
        <v>3000</v>
      </c>
      <c r="G549" s="12">
        <v>230</v>
      </c>
      <c r="H549" s="12">
        <v>0</v>
      </c>
      <c r="I549" s="12" t="s">
        <v>2677</v>
      </c>
      <c r="J549" s="12" t="s">
        <v>2678</v>
      </c>
    </row>
    <row r="550" spans="1:10" ht="26.4" customHeight="1">
      <c r="A550" s="12" t="s">
        <v>323</v>
      </c>
      <c r="B550" s="14" t="s">
        <v>925</v>
      </c>
      <c r="C550" s="12" t="s">
        <v>59</v>
      </c>
      <c r="D550" s="12" t="s">
        <v>66</v>
      </c>
      <c r="E550" s="12">
        <v>13</v>
      </c>
      <c r="F550" s="12">
        <v>3000</v>
      </c>
      <c r="G550" s="12">
        <v>240</v>
      </c>
      <c r="H550" s="12">
        <v>0</v>
      </c>
      <c r="I550" s="12" t="s">
        <v>210</v>
      </c>
      <c r="J550" s="12" t="s">
        <v>210</v>
      </c>
    </row>
    <row r="551" spans="1:10" ht="26.4" customHeight="1">
      <c r="A551" s="12" t="s">
        <v>327</v>
      </c>
      <c r="B551" s="14" t="s">
        <v>925</v>
      </c>
      <c r="C551" s="12" t="s">
        <v>59</v>
      </c>
      <c r="D551" s="12" t="s">
        <v>2679</v>
      </c>
      <c r="E551" s="12">
        <v>15</v>
      </c>
      <c r="F551" s="12">
        <v>3000</v>
      </c>
      <c r="G551" s="12">
        <v>180</v>
      </c>
      <c r="H551" s="12">
        <v>200</v>
      </c>
      <c r="I551" s="12" t="s">
        <v>210</v>
      </c>
      <c r="J551" s="12" t="s">
        <v>210</v>
      </c>
    </row>
    <row r="552" spans="1:10" ht="26.4" customHeight="1">
      <c r="A552" s="12" t="s">
        <v>342</v>
      </c>
      <c r="B552" s="14" t="s">
        <v>925</v>
      </c>
      <c r="C552" s="12" t="s">
        <v>59</v>
      </c>
      <c r="D552" s="12" t="s">
        <v>620</v>
      </c>
      <c r="E552" s="12">
        <v>15</v>
      </c>
      <c r="F552" s="12">
        <v>3000</v>
      </c>
      <c r="G552" s="12">
        <v>245</v>
      </c>
      <c r="H552" s="12">
        <v>3500</v>
      </c>
      <c r="I552" s="12" t="s">
        <v>210</v>
      </c>
      <c r="J552" s="12" t="s">
        <v>210</v>
      </c>
    </row>
    <row r="553" spans="1:10" ht="26.4" customHeight="1">
      <c r="A553" s="12" t="s">
        <v>339</v>
      </c>
      <c r="B553" s="14" t="s">
        <v>925</v>
      </c>
      <c r="C553" s="12" t="s">
        <v>59</v>
      </c>
      <c r="D553" s="12" t="s">
        <v>2637</v>
      </c>
      <c r="E553" s="12">
        <v>30</v>
      </c>
      <c r="F553" s="12">
        <v>10000</v>
      </c>
      <c r="G553" s="12">
        <v>470</v>
      </c>
      <c r="H553" s="12">
        <v>10000</v>
      </c>
      <c r="I553" s="12">
        <v>10</v>
      </c>
      <c r="J553" s="12" t="s">
        <v>210</v>
      </c>
    </row>
    <row r="554" spans="1:10" ht="26.4" customHeight="1">
      <c r="A554" s="12" t="s">
        <v>336</v>
      </c>
      <c r="B554" s="14" t="s">
        <v>925</v>
      </c>
      <c r="C554" s="12" t="s">
        <v>59</v>
      </c>
      <c r="D554" s="12" t="s">
        <v>2680</v>
      </c>
      <c r="E554" s="12">
        <v>20</v>
      </c>
      <c r="F554" s="12">
        <v>4000</v>
      </c>
      <c r="G554" s="12">
        <v>250</v>
      </c>
      <c r="H554" s="12">
        <v>10000</v>
      </c>
      <c r="I554" s="12" t="s">
        <v>210</v>
      </c>
      <c r="J554" s="12" t="s">
        <v>210</v>
      </c>
    </row>
    <row r="555" spans="1:10" ht="26.4" customHeight="1">
      <c r="A555" s="12" t="s">
        <v>2681</v>
      </c>
      <c r="B555" s="14" t="s">
        <v>925</v>
      </c>
      <c r="C555" s="12" t="s">
        <v>59</v>
      </c>
      <c r="D555" s="12" t="s">
        <v>2682</v>
      </c>
      <c r="E555" s="12">
        <v>50</v>
      </c>
      <c r="F555" s="12">
        <v>20000</v>
      </c>
      <c r="G555" s="12">
        <v>1500</v>
      </c>
      <c r="H555" s="12">
        <v>8000</v>
      </c>
      <c r="I555" s="12">
        <v>90</v>
      </c>
      <c r="J555" s="12" t="s">
        <v>2683</v>
      </c>
    </row>
    <row r="556" spans="1:10" ht="26.4" customHeight="1">
      <c r="A556" s="12" t="s">
        <v>2684</v>
      </c>
      <c r="B556" s="14" t="s">
        <v>925</v>
      </c>
      <c r="C556" s="12" t="s">
        <v>59</v>
      </c>
      <c r="D556" s="12" t="s">
        <v>2685</v>
      </c>
      <c r="E556" s="12">
        <v>71</v>
      </c>
      <c r="F556" s="12">
        <v>15000</v>
      </c>
      <c r="G556" s="12">
        <v>950</v>
      </c>
      <c r="H556" s="12">
        <v>20000</v>
      </c>
      <c r="I556" s="12">
        <v>75</v>
      </c>
      <c r="J556" s="12" t="s">
        <v>2686</v>
      </c>
    </row>
    <row r="557" spans="1:10" ht="26.4" customHeight="1">
      <c r="A557" s="12" t="s">
        <v>2687</v>
      </c>
      <c r="B557" s="14" t="s">
        <v>925</v>
      </c>
      <c r="C557" s="12" t="s">
        <v>59</v>
      </c>
      <c r="D557" s="12" t="s">
        <v>2688</v>
      </c>
      <c r="E557" s="12">
        <v>63</v>
      </c>
      <c r="F557" s="12">
        <v>12000</v>
      </c>
      <c r="G557" s="12">
        <v>800</v>
      </c>
      <c r="H557" s="12">
        <v>0</v>
      </c>
      <c r="I557" s="12">
        <v>200</v>
      </c>
      <c r="J557" s="12" t="s">
        <v>2689</v>
      </c>
    </row>
    <row r="558" spans="1:10" ht="26.4" customHeight="1">
      <c r="A558" s="12" t="s">
        <v>2690</v>
      </c>
      <c r="B558" s="14" t="s">
        <v>925</v>
      </c>
      <c r="C558" s="12" t="s">
        <v>59</v>
      </c>
      <c r="D558" s="12" t="s">
        <v>2691</v>
      </c>
      <c r="E558" s="12">
        <v>40</v>
      </c>
      <c r="F558" s="12">
        <v>7000</v>
      </c>
      <c r="G558" s="12">
        <v>300</v>
      </c>
      <c r="H558" s="12">
        <v>1000</v>
      </c>
      <c r="I558" s="12" t="s">
        <v>210</v>
      </c>
      <c r="J558" s="12" t="s">
        <v>2692</v>
      </c>
    </row>
    <row r="559" spans="1:10" ht="26.4" customHeight="1">
      <c r="A559" s="12" t="s">
        <v>2693</v>
      </c>
      <c r="B559" s="14" t="s">
        <v>925</v>
      </c>
      <c r="C559" s="12" t="s">
        <v>59</v>
      </c>
      <c r="D559" s="12" t="s">
        <v>2694</v>
      </c>
      <c r="E559" s="12">
        <v>31</v>
      </c>
      <c r="F559" s="12">
        <v>3000</v>
      </c>
      <c r="G559" s="12">
        <v>294</v>
      </c>
      <c r="H559" s="12">
        <v>0</v>
      </c>
      <c r="I559" s="12" t="s">
        <v>210</v>
      </c>
      <c r="J559" s="12" t="s">
        <v>210</v>
      </c>
    </row>
    <row r="560" spans="1:10" ht="26.4" customHeight="1">
      <c r="A560" s="12" t="s">
        <v>2695</v>
      </c>
      <c r="B560" s="14" t="s">
        <v>925</v>
      </c>
      <c r="C560" s="12" t="s">
        <v>59</v>
      </c>
      <c r="D560" s="12" t="s">
        <v>2696</v>
      </c>
      <c r="E560" s="12">
        <v>42</v>
      </c>
      <c r="F560" s="12">
        <v>3000</v>
      </c>
      <c r="G560" s="12">
        <v>300</v>
      </c>
      <c r="H560" s="12">
        <v>3500</v>
      </c>
      <c r="I560" s="12">
        <v>17</v>
      </c>
      <c r="J560" s="12" t="s">
        <v>210</v>
      </c>
    </row>
    <row r="561" spans="1:10" ht="26.4" customHeight="1">
      <c r="A561" s="12" t="s">
        <v>2697</v>
      </c>
      <c r="B561" s="14" t="s">
        <v>925</v>
      </c>
      <c r="C561" s="12" t="s">
        <v>59</v>
      </c>
      <c r="D561" s="12" t="s">
        <v>66</v>
      </c>
      <c r="E561" s="12">
        <v>23</v>
      </c>
      <c r="F561" s="12">
        <v>7000</v>
      </c>
      <c r="G561" s="12">
        <v>450</v>
      </c>
      <c r="H561" s="12">
        <v>0</v>
      </c>
      <c r="I561" s="12">
        <v>8</v>
      </c>
      <c r="J561" s="12" t="s">
        <v>2698</v>
      </c>
    </row>
    <row r="562" spans="1:10" ht="26.4" customHeight="1">
      <c r="A562" s="12" t="s">
        <v>2699</v>
      </c>
      <c r="B562" s="14" t="s">
        <v>925</v>
      </c>
      <c r="C562" s="12" t="s">
        <v>59</v>
      </c>
      <c r="D562" s="12" t="s">
        <v>2700</v>
      </c>
      <c r="E562" s="12">
        <v>50</v>
      </c>
      <c r="F562" s="12">
        <v>10000</v>
      </c>
      <c r="G562" s="12">
        <v>550</v>
      </c>
      <c r="H562" s="12">
        <v>10000</v>
      </c>
      <c r="I562" s="12">
        <v>0</v>
      </c>
      <c r="J562" s="12" t="s">
        <v>2701</v>
      </c>
    </row>
    <row r="563" spans="1:10" ht="26.4" customHeight="1">
      <c r="A563" s="12" t="s">
        <v>2702</v>
      </c>
      <c r="B563" s="14" t="s">
        <v>925</v>
      </c>
      <c r="C563" s="12" t="s">
        <v>59</v>
      </c>
      <c r="D563" s="12" t="s">
        <v>2703</v>
      </c>
      <c r="E563" s="12">
        <v>12</v>
      </c>
      <c r="F563" s="12">
        <v>8000</v>
      </c>
      <c r="G563" s="12">
        <v>300</v>
      </c>
      <c r="H563" s="12">
        <v>0</v>
      </c>
      <c r="I563" s="12" t="s">
        <v>210</v>
      </c>
      <c r="J563" s="12" t="s">
        <v>210</v>
      </c>
    </row>
    <row r="564" spans="1:10" ht="26.4" customHeight="1">
      <c r="A564" s="12" t="s">
        <v>2704</v>
      </c>
      <c r="B564" s="14" t="s">
        <v>925</v>
      </c>
      <c r="C564" s="12" t="s">
        <v>59</v>
      </c>
      <c r="D564" s="12" t="s">
        <v>66</v>
      </c>
      <c r="E564" s="12">
        <v>30</v>
      </c>
      <c r="F564" s="12">
        <v>5000</v>
      </c>
      <c r="G564" s="12">
        <v>400</v>
      </c>
      <c r="H564" s="12">
        <v>0</v>
      </c>
      <c r="I564" s="12" t="s">
        <v>210</v>
      </c>
      <c r="J564" s="12" t="s">
        <v>2705</v>
      </c>
    </row>
    <row r="565" spans="1:10" ht="26.4" customHeight="1">
      <c r="A565" s="12" t="s">
        <v>2706</v>
      </c>
      <c r="B565" s="14" t="s">
        <v>925</v>
      </c>
      <c r="C565" s="12" t="s">
        <v>59</v>
      </c>
      <c r="D565" s="12" t="s">
        <v>2707</v>
      </c>
      <c r="E565" s="12">
        <v>24</v>
      </c>
      <c r="F565" s="12">
        <v>15000</v>
      </c>
      <c r="G565" s="12">
        <v>750</v>
      </c>
      <c r="H565" s="12">
        <v>0</v>
      </c>
      <c r="I565" s="12" t="s">
        <v>2708</v>
      </c>
      <c r="J565" s="12" t="s">
        <v>2709</v>
      </c>
    </row>
    <row r="566" spans="1:10" ht="26.4" customHeight="1">
      <c r="A566" s="12" t="s">
        <v>2710</v>
      </c>
      <c r="B566" s="14" t="s">
        <v>925</v>
      </c>
      <c r="C566" s="12" t="s">
        <v>110</v>
      </c>
      <c r="D566" s="12" t="s">
        <v>2711</v>
      </c>
      <c r="E566" s="12">
        <v>70</v>
      </c>
      <c r="F566" s="12">
        <v>10000</v>
      </c>
      <c r="G566" s="12">
        <v>600</v>
      </c>
      <c r="H566" s="12">
        <v>12000</v>
      </c>
      <c r="I566" s="12">
        <v>0</v>
      </c>
      <c r="J566" s="12" t="s">
        <v>2712</v>
      </c>
    </row>
    <row r="567" spans="1:10" ht="26.4" customHeight="1">
      <c r="A567" s="12" t="s">
        <v>2713</v>
      </c>
      <c r="B567" s="14" t="s">
        <v>925</v>
      </c>
      <c r="C567" s="12" t="s">
        <v>59</v>
      </c>
      <c r="D567" s="12" t="s">
        <v>66</v>
      </c>
      <c r="E567" s="12">
        <v>35</v>
      </c>
      <c r="F567" s="12">
        <v>5500</v>
      </c>
      <c r="G567" s="12">
        <v>300</v>
      </c>
      <c r="H567" s="12">
        <v>0</v>
      </c>
      <c r="I567" s="12">
        <v>50</v>
      </c>
      <c r="J567" s="12" t="s">
        <v>210</v>
      </c>
    </row>
    <row r="568" spans="1:10" ht="26.4" customHeight="1">
      <c r="A568" s="12" t="s">
        <v>2714</v>
      </c>
      <c r="B568" s="14" t="s">
        <v>925</v>
      </c>
      <c r="C568" s="12" t="s">
        <v>59</v>
      </c>
      <c r="D568" s="12" t="s">
        <v>2715</v>
      </c>
      <c r="E568" s="12">
        <v>40</v>
      </c>
      <c r="F568" s="12">
        <v>5500</v>
      </c>
      <c r="G568" s="12">
        <v>440</v>
      </c>
      <c r="H568" s="12">
        <v>5000</v>
      </c>
      <c r="I568" s="12" t="s">
        <v>210</v>
      </c>
      <c r="J568" s="12" t="s">
        <v>2716</v>
      </c>
    </row>
    <row r="569" spans="1:10" ht="26.4" customHeight="1">
      <c r="A569" s="12" t="s">
        <v>2717</v>
      </c>
      <c r="B569" s="14" t="s">
        <v>925</v>
      </c>
      <c r="C569" s="12" t="s">
        <v>110</v>
      </c>
      <c r="D569" s="12" t="s">
        <v>2666</v>
      </c>
      <c r="E569" s="12">
        <v>70</v>
      </c>
      <c r="F569" s="12">
        <v>10000</v>
      </c>
      <c r="G569" s="12">
        <v>400</v>
      </c>
      <c r="H569" s="12">
        <v>0</v>
      </c>
      <c r="I569" s="12">
        <v>0</v>
      </c>
      <c r="J569" s="12" t="s">
        <v>2718</v>
      </c>
    </row>
    <row r="570" spans="1:10" ht="26.4" customHeight="1">
      <c r="A570" s="12" t="s">
        <v>2719</v>
      </c>
      <c r="B570" s="14" t="s">
        <v>960</v>
      </c>
      <c r="C570" s="12" t="s">
        <v>59</v>
      </c>
      <c r="D570" s="12" t="s">
        <v>66</v>
      </c>
      <c r="E570" s="12">
        <v>75</v>
      </c>
      <c r="F570" s="12">
        <v>3000</v>
      </c>
      <c r="G570" s="12">
        <v>550</v>
      </c>
      <c r="H570" s="12">
        <v>0</v>
      </c>
      <c r="I570" s="12">
        <v>70</v>
      </c>
      <c r="J570" s="12" t="s">
        <v>2720</v>
      </c>
    </row>
    <row r="572" spans="1:10" ht="26.4" customHeight="1">
      <c r="A572" s="13" t="s">
        <v>0</v>
      </c>
      <c r="B572" s="13" t="s">
        <v>2721</v>
      </c>
      <c r="C572" s="13" t="s">
        <v>2</v>
      </c>
      <c r="D572" s="13" t="s">
        <v>1453</v>
      </c>
      <c r="E572" s="13" t="s">
        <v>3</v>
      </c>
      <c r="F572" s="13" t="s">
        <v>919</v>
      </c>
      <c r="G572" s="13" t="s">
        <v>920</v>
      </c>
      <c r="H572" s="13" t="s">
        <v>921</v>
      </c>
      <c r="I572" s="13" t="s">
        <v>922</v>
      </c>
      <c r="J572" s="13" t="s">
        <v>8</v>
      </c>
    </row>
    <row r="573" spans="1:10" ht="26.4" customHeight="1">
      <c r="A573" s="12" t="s">
        <v>2722</v>
      </c>
      <c r="B573" s="14" t="s">
        <v>925</v>
      </c>
      <c r="C573" s="12" t="s">
        <v>60</v>
      </c>
      <c r="D573" s="12" t="s">
        <v>210</v>
      </c>
      <c r="E573" s="12">
        <v>50</v>
      </c>
      <c r="F573" s="12">
        <v>4000</v>
      </c>
      <c r="G573" s="12">
        <v>300</v>
      </c>
      <c r="H573" s="12">
        <v>0</v>
      </c>
      <c r="I573" s="12" t="s">
        <v>2723</v>
      </c>
      <c r="J573" s="12" t="s">
        <v>2724</v>
      </c>
    </row>
    <row r="574" spans="1:10" ht="26.4" customHeight="1">
      <c r="A574" s="12" t="s">
        <v>2725</v>
      </c>
      <c r="B574" s="14" t="s">
        <v>925</v>
      </c>
      <c r="C574" s="12" t="s">
        <v>59</v>
      </c>
      <c r="D574" s="12" t="s">
        <v>210</v>
      </c>
      <c r="E574" s="12">
        <v>8</v>
      </c>
      <c r="F574" s="12">
        <v>5000</v>
      </c>
      <c r="G574" s="12">
        <v>240</v>
      </c>
      <c r="H574" s="12">
        <v>0</v>
      </c>
      <c r="I574" s="12" t="s">
        <v>210</v>
      </c>
      <c r="J574" s="12" t="s">
        <v>2726</v>
      </c>
    </row>
    <row r="575" spans="1:10" ht="26.4" customHeight="1">
      <c r="A575" s="12" t="s">
        <v>2727</v>
      </c>
      <c r="B575" s="14" t="s">
        <v>925</v>
      </c>
      <c r="C575" s="12" t="s">
        <v>59</v>
      </c>
      <c r="D575" s="12" t="s">
        <v>819</v>
      </c>
      <c r="E575" s="12">
        <v>32</v>
      </c>
      <c r="F575" s="12">
        <v>5000</v>
      </c>
      <c r="G575" s="12">
        <v>370</v>
      </c>
      <c r="H575" s="12">
        <v>2000</v>
      </c>
      <c r="I575" s="12">
        <v>7</v>
      </c>
      <c r="J575" s="12" t="s">
        <v>210</v>
      </c>
    </row>
    <row r="576" spans="1:10" ht="26.4" customHeight="1">
      <c r="A576" s="12" t="s">
        <v>2728</v>
      </c>
      <c r="B576" s="14" t="s">
        <v>925</v>
      </c>
      <c r="C576" s="12" t="s">
        <v>59</v>
      </c>
      <c r="D576" s="12" t="s">
        <v>2729</v>
      </c>
      <c r="E576" s="12">
        <v>42</v>
      </c>
      <c r="F576" s="12">
        <v>7000</v>
      </c>
      <c r="G576" s="12">
        <v>300</v>
      </c>
      <c r="H576" s="12">
        <v>3000</v>
      </c>
      <c r="I576" s="12">
        <v>20</v>
      </c>
      <c r="J576" s="12" t="s">
        <v>210</v>
      </c>
    </row>
    <row r="577" spans="1:10" ht="26.4" customHeight="1">
      <c r="A577" s="12" t="s">
        <v>2730</v>
      </c>
      <c r="B577" s="14" t="s">
        <v>925</v>
      </c>
      <c r="C577" s="12" t="s">
        <v>59</v>
      </c>
      <c r="D577" s="12" t="s">
        <v>2086</v>
      </c>
      <c r="E577" s="12">
        <v>32</v>
      </c>
      <c r="F577" s="12">
        <v>10000</v>
      </c>
      <c r="G577" s="12">
        <v>400</v>
      </c>
      <c r="H577" s="12">
        <v>6000</v>
      </c>
      <c r="I577" s="12">
        <v>20</v>
      </c>
      <c r="J577" s="12" t="s">
        <v>210</v>
      </c>
    </row>
    <row r="578" spans="1:10" ht="26.4" customHeight="1">
      <c r="A578" s="12" t="s">
        <v>2731</v>
      </c>
      <c r="B578" s="14" t="s">
        <v>925</v>
      </c>
      <c r="C578" s="12" t="s">
        <v>59</v>
      </c>
      <c r="D578" s="12" t="s">
        <v>2732</v>
      </c>
      <c r="E578" s="12">
        <v>28</v>
      </c>
      <c r="F578" s="12">
        <v>3000</v>
      </c>
      <c r="G578" s="12">
        <v>230</v>
      </c>
      <c r="H578" s="12">
        <v>6000</v>
      </c>
      <c r="I578" s="12">
        <v>10</v>
      </c>
      <c r="J578" s="12" t="s">
        <v>210</v>
      </c>
    </row>
    <row r="579" spans="1:10" ht="26.4" customHeight="1">
      <c r="A579" s="12" t="s">
        <v>2733</v>
      </c>
      <c r="B579" s="14" t="s">
        <v>925</v>
      </c>
      <c r="C579" s="12" t="s">
        <v>59</v>
      </c>
      <c r="D579" s="12" t="s">
        <v>2734</v>
      </c>
      <c r="E579" s="12">
        <v>33</v>
      </c>
      <c r="F579" s="12">
        <v>3000</v>
      </c>
      <c r="G579" s="12">
        <v>300</v>
      </c>
      <c r="H579" s="12">
        <v>5000</v>
      </c>
      <c r="I579" s="12">
        <v>20</v>
      </c>
      <c r="J579" s="12" t="s">
        <v>210</v>
      </c>
    </row>
    <row r="580" spans="1:10" ht="26.4" customHeight="1">
      <c r="A580" s="12" t="s">
        <v>2735</v>
      </c>
      <c r="B580" s="14" t="s">
        <v>925</v>
      </c>
      <c r="C580" s="12" t="s">
        <v>59</v>
      </c>
      <c r="D580" s="12" t="s">
        <v>2736</v>
      </c>
      <c r="E580" s="12">
        <v>30</v>
      </c>
      <c r="F580" s="12">
        <v>4000</v>
      </c>
      <c r="G580" s="12">
        <v>330</v>
      </c>
      <c r="H580" s="12">
        <v>7000</v>
      </c>
      <c r="I580" s="12">
        <v>10</v>
      </c>
      <c r="J580" s="12" t="s">
        <v>210</v>
      </c>
    </row>
    <row r="581" spans="1:10" ht="26.4" customHeight="1">
      <c r="A581" s="12" t="s">
        <v>2737</v>
      </c>
      <c r="B581" s="14" t="s">
        <v>925</v>
      </c>
      <c r="C581" s="12" t="s">
        <v>59</v>
      </c>
      <c r="D581" s="12" t="s">
        <v>2738</v>
      </c>
      <c r="E581" s="12">
        <v>27</v>
      </c>
      <c r="F581" s="12">
        <v>4000</v>
      </c>
      <c r="G581" s="12">
        <v>420</v>
      </c>
      <c r="H581" s="12">
        <v>6000</v>
      </c>
      <c r="I581" s="12">
        <v>10</v>
      </c>
      <c r="J581" s="12" t="s">
        <v>210</v>
      </c>
    </row>
    <row r="582" spans="1:10" ht="26.4" customHeight="1">
      <c r="A582" s="12" t="s">
        <v>2739</v>
      </c>
      <c r="B582" s="14" t="s">
        <v>925</v>
      </c>
      <c r="C582" s="12" t="s">
        <v>59</v>
      </c>
      <c r="D582" s="12" t="s">
        <v>2740</v>
      </c>
      <c r="E582" s="12">
        <v>35</v>
      </c>
      <c r="F582" s="12">
        <v>3000</v>
      </c>
      <c r="G582" s="12">
        <v>240</v>
      </c>
      <c r="H582" s="12">
        <v>4000</v>
      </c>
      <c r="I582" s="12">
        <v>10</v>
      </c>
      <c r="J582" s="12" t="s">
        <v>210</v>
      </c>
    </row>
    <row r="583" spans="1:10" ht="26.4" customHeight="1">
      <c r="A583" s="12" t="s">
        <v>2741</v>
      </c>
      <c r="B583" s="14" t="s">
        <v>925</v>
      </c>
      <c r="C583" s="12" t="s">
        <v>59</v>
      </c>
      <c r="D583" s="12" t="s">
        <v>2742</v>
      </c>
      <c r="E583" s="12">
        <v>35</v>
      </c>
      <c r="F583" s="12">
        <v>3000</v>
      </c>
      <c r="G583" s="12">
        <v>250</v>
      </c>
      <c r="H583" s="12">
        <v>0</v>
      </c>
      <c r="I583" s="12">
        <v>10</v>
      </c>
      <c r="J583" s="12" t="s">
        <v>633</v>
      </c>
    </row>
    <row r="584" spans="1:10" ht="26.4" customHeight="1">
      <c r="A584" s="12" t="s">
        <v>2743</v>
      </c>
      <c r="B584" s="14" t="s">
        <v>925</v>
      </c>
      <c r="C584" s="12" t="s">
        <v>59</v>
      </c>
      <c r="D584" s="12" t="s">
        <v>2744</v>
      </c>
      <c r="E584" s="12">
        <v>29</v>
      </c>
      <c r="F584" s="12">
        <v>3000</v>
      </c>
      <c r="G584" s="12">
        <v>250</v>
      </c>
      <c r="H584" s="12">
        <v>3000</v>
      </c>
      <c r="I584" s="12">
        <v>20</v>
      </c>
      <c r="J584" s="12" t="s">
        <v>210</v>
      </c>
    </row>
    <row r="585" spans="1:10" ht="26.4" customHeight="1">
      <c r="A585" s="12" t="s">
        <v>384</v>
      </c>
      <c r="B585" s="14" t="s">
        <v>925</v>
      </c>
      <c r="C585" s="12" t="s">
        <v>59</v>
      </c>
      <c r="D585" s="12" t="s">
        <v>2745</v>
      </c>
      <c r="E585" s="12">
        <v>30</v>
      </c>
      <c r="F585" s="12">
        <v>5000</v>
      </c>
      <c r="G585" s="12">
        <v>320</v>
      </c>
      <c r="H585" s="12">
        <v>5000</v>
      </c>
      <c r="I585" s="12">
        <v>20</v>
      </c>
      <c r="J585" s="12" t="s">
        <v>210</v>
      </c>
    </row>
    <row r="586" spans="1:10" ht="26.4" customHeight="1">
      <c r="A586" s="12" t="s">
        <v>2746</v>
      </c>
      <c r="B586" s="14" t="s">
        <v>925</v>
      </c>
      <c r="C586" s="12" t="s">
        <v>59</v>
      </c>
      <c r="D586" s="12" t="s">
        <v>2747</v>
      </c>
      <c r="E586" s="12">
        <v>38</v>
      </c>
      <c r="F586" s="12">
        <v>5000</v>
      </c>
      <c r="G586" s="12">
        <v>300</v>
      </c>
      <c r="H586" s="12">
        <v>0</v>
      </c>
      <c r="I586" s="12">
        <v>5</v>
      </c>
      <c r="J586" s="12" t="s">
        <v>633</v>
      </c>
    </row>
    <row r="587" spans="1:10" ht="26.4" customHeight="1">
      <c r="A587" s="12" t="s">
        <v>2748</v>
      </c>
      <c r="B587" s="14" t="s">
        <v>925</v>
      </c>
      <c r="C587" s="12" t="s">
        <v>59</v>
      </c>
      <c r="D587" s="12" t="s">
        <v>2749</v>
      </c>
      <c r="E587" s="12">
        <v>28</v>
      </c>
      <c r="F587" s="12">
        <v>2500</v>
      </c>
      <c r="G587" s="12">
        <v>155</v>
      </c>
      <c r="H587" s="12">
        <v>1000</v>
      </c>
      <c r="I587" s="12">
        <v>1</v>
      </c>
      <c r="J587" s="12" t="s">
        <v>210</v>
      </c>
    </row>
    <row r="588" spans="1:10" ht="26.4" customHeight="1">
      <c r="A588" s="12" t="s">
        <v>2750</v>
      </c>
      <c r="B588" s="14" t="s">
        <v>925</v>
      </c>
      <c r="C588" s="12" t="s">
        <v>59</v>
      </c>
      <c r="D588" s="12" t="s">
        <v>2751</v>
      </c>
      <c r="E588" s="12">
        <v>29</v>
      </c>
      <c r="F588" s="12">
        <v>2000</v>
      </c>
      <c r="G588" s="12">
        <v>220</v>
      </c>
      <c r="H588" s="12">
        <v>3500</v>
      </c>
      <c r="I588" s="12">
        <v>5</v>
      </c>
      <c r="J588" s="12" t="s">
        <v>210</v>
      </c>
    </row>
    <row r="589" spans="1:10" ht="26.4" customHeight="1">
      <c r="A589" s="12" t="s">
        <v>2752</v>
      </c>
      <c r="B589" s="14" t="s">
        <v>925</v>
      </c>
      <c r="C589" s="12" t="s">
        <v>59</v>
      </c>
      <c r="D589" s="12" t="s">
        <v>2753</v>
      </c>
      <c r="E589" s="12">
        <v>30</v>
      </c>
      <c r="F589" s="12">
        <v>5000</v>
      </c>
      <c r="G589" s="12">
        <v>400</v>
      </c>
      <c r="H589" s="12">
        <v>3500</v>
      </c>
      <c r="I589" s="12">
        <v>10</v>
      </c>
      <c r="J589" s="12" t="s">
        <v>210</v>
      </c>
    </row>
    <row r="590" spans="1:10" ht="26.4" customHeight="1">
      <c r="A590" s="12" t="s">
        <v>194</v>
      </c>
      <c r="B590" s="14" t="s">
        <v>925</v>
      </c>
      <c r="C590" s="12" t="s">
        <v>59</v>
      </c>
      <c r="D590" s="12" t="s">
        <v>2754</v>
      </c>
      <c r="E590" s="12">
        <v>39</v>
      </c>
      <c r="F590" s="12">
        <v>5000</v>
      </c>
      <c r="G590" s="12">
        <v>400</v>
      </c>
      <c r="H590" s="12">
        <v>0</v>
      </c>
      <c r="I590" s="12">
        <v>10</v>
      </c>
      <c r="J590" s="12" t="s">
        <v>633</v>
      </c>
    </row>
    <row r="591" spans="1:10" ht="26.4" customHeight="1">
      <c r="A591" s="12" t="s">
        <v>2755</v>
      </c>
      <c r="B591" s="14" t="s">
        <v>925</v>
      </c>
      <c r="C591" s="12" t="s">
        <v>59</v>
      </c>
      <c r="D591" s="12" t="s">
        <v>66</v>
      </c>
      <c r="E591" s="12">
        <v>45</v>
      </c>
      <c r="F591" s="12">
        <v>20000</v>
      </c>
      <c r="G591" s="12">
        <v>1120</v>
      </c>
      <c r="H591" s="12">
        <v>0</v>
      </c>
      <c r="I591" s="12" t="s">
        <v>210</v>
      </c>
      <c r="J591" s="12" t="s">
        <v>2756</v>
      </c>
    </row>
    <row r="592" spans="1:10" ht="26.4" customHeight="1">
      <c r="A592" s="12" t="s">
        <v>2757</v>
      </c>
      <c r="B592" s="14" t="s">
        <v>925</v>
      </c>
      <c r="C592" s="12" t="s">
        <v>59</v>
      </c>
      <c r="D592" s="12" t="s">
        <v>2758</v>
      </c>
      <c r="E592" s="12">
        <v>14</v>
      </c>
      <c r="F592" s="12">
        <v>3500</v>
      </c>
      <c r="G592" s="12">
        <v>230</v>
      </c>
      <c r="H592" s="12">
        <v>0</v>
      </c>
      <c r="I592" s="12" t="s">
        <v>210</v>
      </c>
      <c r="J592" s="12" t="s">
        <v>633</v>
      </c>
    </row>
    <row r="593" spans="1:10" ht="26.4" customHeight="1">
      <c r="A593" s="12" t="s">
        <v>2759</v>
      </c>
      <c r="B593" s="14" t="s">
        <v>925</v>
      </c>
      <c r="C593" s="12" t="s">
        <v>59</v>
      </c>
      <c r="D593" s="12" t="s">
        <v>2760</v>
      </c>
      <c r="E593" s="12">
        <v>80</v>
      </c>
      <c r="F593" s="12">
        <v>7000</v>
      </c>
      <c r="G593" s="12">
        <v>410</v>
      </c>
      <c r="H593" s="12">
        <v>10000</v>
      </c>
      <c r="I593" s="12" t="s">
        <v>210</v>
      </c>
      <c r="J593" s="12" t="s">
        <v>2761</v>
      </c>
    </row>
    <row r="594" spans="1:10" ht="26.4" customHeight="1">
      <c r="A594" s="12" t="s">
        <v>2762</v>
      </c>
      <c r="B594" s="14" t="s">
        <v>925</v>
      </c>
      <c r="C594" s="12" t="s">
        <v>59</v>
      </c>
      <c r="D594" s="12" t="s">
        <v>1776</v>
      </c>
      <c r="E594" s="12">
        <v>59</v>
      </c>
      <c r="F594" s="12">
        <v>5000</v>
      </c>
      <c r="G594" s="12">
        <v>370</v>
      </c>
      <c r="H594" s="12">
        <v>5000</v>
      </c>
      <c r="I594" s="12" t="s">
        <v>210</v>
      </c>
      <c r="J594" s="12" t="s">
        <v>2763</v>
      </c>
    </row>
    <row r="595" spans="1:10" ht="26.4" customHeight="1">
      <c r="A595" s="12" t="s">
        <v>2764</v>
      </c>
      <c r="B595" s="14" t="s">
        <v>925</v>
      </c>
      <c r="C595" s="12" t="s">
        <v>59</v>
      </c>
      <c r="D595" s="12" t="s">
        <v>2765</v>
      </c>
      <c r="E595" s="12">
        <v>62</v>
      </c>
      <c r="F595" s="12">
        <v>10000</v>
      </c>
      <c r="G595" s="12">
        <v>500</v>
      </c>
      <c r="H595" s="12">
        <v>0</v>
      </c>
      <c r="I595" s="12" t="s">
        <v>210</v>
      </c>
      <c r="J595" s="12" t="s">
        <v>633</v>
      </c>
    </row>
    <row r="596" spans="1:10" ht="26.4" customHeight="1">
      <c r="A596" s="12" t="s">
        <v>2766</v>
      </c>
      <c r="B596" s="14" t="s">
        <v>925</v>
      </c>
      <c r="C596" s="12" t="s">
        <v>59</v>
      </c>
      <c r="D596" s="12" t="s">
        <v>2031</v>
      </c>
      <c r="E596" s="12">
        <v>110</v>
      </c>
      <c r="F596" s="12">
        <v>15000</v>
      </c>
      <c r="G596" s="12">
        <v>800</v>
      </c>
      <c r="H596" s="12">
        <v>0</v>
      </c>
      <c r="I596" s="12" t="s">
        <v>210</v>
      </c>
      <c r="J596" s="12" t="s">
        <v>633</v>
      </c>
    </row>
    <row r="597" spans="1:10" ht="26.4" customHeight="1">
      <c r="A597" s="12" t="s">
        <v>2767</v>
      </c>
      <c r="B597" s="14" t="s">
        <v>925</v>
      </c>
      <c r="C597" s="12" t="s">
        <v>59</v>
      </c>
      <c r="D597" s="12" t="s">
        <v>2768</v>
      </c>
      <c r="E597" s="12">
        <v>80</v>
      </c>
      <c r="F597" s="12">
        <v>8000</v>
      </c>
      <c r="G597" s="12">
        <v>610</v>
      </c>
      <c r="H597" s="12">
        <v>13000</v>
      </c>
      <c r="I597" s="12" t="s">
        <v>210</v>
      </c>
      <c r="J597" s="12" t="s">
        <v>2769</v>
      </c>
    </row>
    <row r="598" spans="1:10" ht="26.4" customHeight="1">
      <c r="A598" s="12" t="s">
        <v>2770</v>
      </c>
      <c r="B598" s="14" t="s">
        <v>925</v>
      </c>
      <c r="C598" s="12" t="s">
        <v>59</v>
      </c>
      <c r="D598" s="12" t="s">
        <v>1851</v>
      </c>
      <c r="E598" s="12">
        <v>45</v>
      </c>
      <c r="F598" s="12">
        <v>5000</v>
      </c>
      <c r="G598" s="12">
        <v>350</v>
      </c>
      <c r="H598" s="12">
        <v>13000</v>
      </c>
      <c r="I598" s="12" t="s">
        <v>210</v>
      </c>
      <c r="J598" s="12" t="s">
        <v>2771</v>
      </c>
    </row>
    <row r="599" spans="1:10" ht="26.4" customHeight="1">
      <c r="A599" s="12" t="s">
        <v>2772</v>
      </c>
      <c r="B599" s="14" t="s">
        <v>925</v>
      </c>
      <c r="C599" s="12" t="s">
        <v>59</v>
      </c>
      <c r="D599" s="12" t="s">
        <v>2773</v>
      </c>
      <c r="E599" s="12">
        <v>61</v>
      </c>
      <c r="F599" s="12">
        <v>6000</v>
      </c>
      <c r="G599" s="12">
        <v>330</v>
      </c>
      <c r="H599" s="12">
        <v>8000</v>
      </c>
      <c r="I599" s="12" t="s">
        <v>210</v>
      </c>
      <c r="J599" s="12" t="s">
        <v>2774</v>
      </c>
    </row>
    <row r="600" spans="1:10" ht="26.4" customHeight="1">
      <c r="A600" s="12" t="s">
        <v>2775</v>
      </c>
      <c r="B600" s="14" t="s">
        <v>925</v>
      </c>
      <c r="C600" s="12" t="s">
        <v>59</v>
      </c>
      <c r="D600" s="12" t="s">
        <v>2776</v>
      </c>
      <c r="E600" s="12">
        <v>66</v>
      </c>
      <c r="F600" s="12">
        <v>5000</v>
      </c>
      <c r="G600" s="12">
        <v>420</v>
      </c>
      <c r="H600" s="12">
        <v>6000</v>
      </c>
      <c r="I600" s="12" t="s">
        <v>210</v>
      </c>
      <c r="J600" s="12" t="s">
        <v>2075</v>
      </c>
    </row>
    <row r="601" spans="1:10" ht="26.4" customHeight="1">
      <c r="A601" s="12" t="s">
        <v>2777</v>
      </c>
      <c r="B601" s="14" t="s">
        <v>925</v>
      </c>
      <c r="C601" s="12" t="s">
        <v>59</v>
      </c>
      <c r="D601" s="12" t="s">
        <v>2778</v>
      </c>
      <c r="E601" s="12">
        <v>59</v>
      </c>
      <c r="F601" s="12">
        <v>4000</v>
      </c>
      <c r="G601" s="12">
        <v>284</v>
      </c>
      <c r="H601" s="12">
        <v>6000</v>
      </c>
      <c r="I601" s="12" t="s">
        <v>210</v>
      </c>
      <c r="J601" s="12" t="s">
        <v>2779</v>
      </c>
    </row>
    <row r="602" spans="1:10" ht="26.4" customHeight="1">
      <c r="A602" s="12" t="s">
        <v>2780</v>
      </c>
      <c r="B602" s="14" t="s">
        <v>925</v>
      </c>
      <c r="C602" s="12" t="s">
        <v>59</v>
      </c>
      <c r="D602" s="12" t="s">
        <v>2781</v>
      </c>
      <c r="E602" s="12">
        <v>50</v>
      </c>
      <c r="F602" s="12">
        <v>6000</v>
      </c>
      <c r="G602" s="12">
        <v>460</v>
      </c>
      <c r="H602" s="12">
        <v>10000</v>
      </c>
      <c r="I602" s="12" t="s">
        <v>210</v>
      </c>
      <c r="J602" s="12" t="s">
        <v>2782</v>
      </c>
    </row>
    <row r="604" spans="1:10" ht="26.4" customHeight="1">
      <c r="A604" s="13" t="s">
        <v>0</v>
      </c>
      <c r="B604" s="13" t="s">
        <v>2721</v>
      </c>
      <c r="C604" s="13" t="s">
        <v>2</v>
      </c>
      <c r="D604" s="13" t="s">
        <v>1453</v>
      </c>
      <c r="E604" s="13" t="s">
        <v>3</v>
      </c>
      <c r="F604" s="13" t="s">
        <v>919</v>
      </c>
      <c r="G604" s="13" t="s">
        <v>920</v>
      </c>
      <c r="H604" s="13" t="s">
        <v>921</v>
      </c>
      <c r="I604" s="13" t="s">
        <v>922</v>
      </c>
      <c r="J604" s="13" t="s">
        <v>8</v>
      </c>
    </row>
    <row r="605" spans="1:10" ht="26.4" customHeight="1">
      <c r="A605" s="12" t="s">
        <v>2783</v>
      </c>
      <c r="B605" s="14" t="s">
        <v>925</v>
      </c>
      <c r="C605" s="12" t="s">
        <v>60</v>
      </c>
      <c r="D605" s="12" t="s">
        <v>66</v>
      </c>
      <c r="E605" s="12">
        <v>50</v>
      </c>
      <c r="F605" s="12">
        <v>3000</v>
      </c>
      <c r="G605" s="12">
        <v>180</v>
      </c>
      <c r="H605" s="12">
        <v>0</v>
      </c>
      <c r="I605" s="12" t="s">
        <v>210</v>
      </c>
      <c r="J605" s="12" t="s">
        <v>2784</v>
      </c>
    </row>
    <row r="606" spans="1:10" ht="26.4" customHeight="1">
      <c r="A606" s="12" t="s">
        <v>2785</v>
      </c>
      <c r="B606" s="14" t="s">
        <v>925</v>
      </c>
      <c r="C606" s="12" t="s">
        <v>59</v>
      </c>
      <c r="D606" s="12" t="s">
        <v>2786</v>
      </c>
      <c r="E606" s="12">
        <v>40</v>
      </c>
      <c r="F606" s="12">
        <v>3000</v>
      </c>
      <c r="G606" s="12">
        <v>262</v>
      </c>
      <c r="H606" s="12">
        <v>8000</v>
      </c>
      <c r="I606" s="12" t="s">
        <v>210</v>
      </c>
      <c r="J606" s="12" t="s">
        <v>2787</v>
      </c>
    </row>
    <row r="607" spans="1:10" ht="26.4" customHeight="1">
      <c r="A607" s="12" t="s">
        <v>2788</v>
      </c>
      <c r="B607" s="14" t="s">
        <v>925</v>
      </c>
      <c r="C607" s="12" t="s">
        <v>59</v>
      </c>
      <c r="D607" s="12" t="s">
        <v>2789</v>
      </c>
      <c r="E607" s="12">
        <v>30</v>
      </c>
      <c r="F607" s="12">
        <v>3300</v>
      </c>
      <c r="G607" s="12">
        <v>290</v>
      </c>
      <c r="H607" s="12">
        <v>6000</v>
      </c>
      <c r="I607" s="12" t="s">
        <v>210</v>
      </c>
      <c r="J607" s="12" t="s">
        <v>210</v>
      </c>
    </row>
    <row r="608" spans="1:10" ht="26.4" customHeight="1">
      <c r="A608" s="12" t="s">
        <v>2790</v>
      </c>
      <c r="B608" s="14" t="s">
        <v>925</v>
      </c>
      <c r="C608" s="12" t="s">
        <v>59</v>
      </c>
      <c r="D608" s="12" t="s">
        <v>1668</v>
      </c>
      <c r="E608" s="12">
        <v>28</v>
      </c>
      <c r="F608" s="12">
        <v>4000</v>
      </c>
      <c r="G608" s="12">
        <v>340</v>
      </c>
      <c r="H608" s="12">
        <v>6000</v>
      </c>
      <c r="I608" s="12" t="s">
        <v>210</v>
      </c>
      <c r="J608" s="12" t="s">
        <v>210</v>
      </c>
    </row>
    <row r="609" spans="1:10" ht="26.4" customHeight="1">
      <c r="A609" s="12" t="s">
        <v>2791</v>
      </c>
      <c r="B609" s="14" t="s">
        <v>925</v>
      </c>
      <c r="C609" s="12" t="s">
        <v>59</v>
      </c>
      <c r="D609" s="12" t="s">
        <v>2792</v>
      </c>
      <c r="E609" s="12">
        <v>30</v>
      </c>
      <c r="F609" s="12">
        <v>5000</v>
      </c>
      <c r="G609" s="12">
        <v>420</v>
      </c>
      <c r="H609" s="12">
        <v>2000</v>
      </c>
      <c r="I609" s="12" t="s">
        <v>210</v>
      </c>
      <c r="J609" s="12" t="s">
        <v>210</v>
      </c>
    </row>
    <row r="610" spans="1:10" ht="26.4" customHeight="1">
      <c r="A610" s="12" t="s">
        <v>2793</v>
      </c>
      <c r="B610" s="14" t="s">
        <v>925</v>
      </c>
      <c r="C610" s="12" t="s">
        <v>60</v>
      </c>
      <c r="D610" s="12" t="s">
        <v>210</v>
      </c>
      <c r="E610" s="12">
        <v>60</v>
      </c>
      <c r="F610" s="12">
        <v>2000</v>
      </c>
      <c r="G610" s="12">
        <v>180</v>
      </c>
      <c r="H610" s="12">
        <v>0</v>
      </c>
      <c r="I610" s="12" t="s">
        <v>2794</v>
      </c>
      <c r="J610" s="12" t="s">
        <v>2795</v>
      </c>
    </row>
    <row r="611" spans="1:10" ht="26.4" customHeight="1">
      <c r="A611" s="12" t="s">
        <v>2796</v>
      </c>
      <c r="B611" s="14" t="s">
        <v>925</v>
      </c>
      <c r="C611" s="12" t="s">
        <v>60</v>
      </c>
      <c r="D611" s="12" t="s">
        <v>2797</v>
      </c>
      <c r="E611" s="12">
        <v>38</v>
      </c>
      <c r="F611" s="12">
        <v>2000</v>
      </c>
      <c r="G611" s="12">
        <v>180</v>
      </c>
      <c r="H611" s="12">
        <v>0</v>
      </c>
      <c r="I611" s="12" t="s">
        <v>210</v>
      </c>
      <c r="J611" s="12" t="s">
        <v>210</v>
      </c>
    </row>
    <row r="612" spans="1:10" ht="26.4" customHeight="1">
      <c r="A612" s="12" t="s">
        <v>2798</v>
      </c>
      <c r="B612" s="14" t="s">
        <v>925</v>
      </c>
      <c r="C612" s="12" t="s">
        <v>60</v>
      </c>
      <c r="D612" s="12" t="s">
        <v>2799</v>
      </c>
      <c r="E612" s="12">
        <v>26.7</v>
      </c>
      <c r="F612" s="12">
        <v>2000</v>
      </c>
      <c r="G612" s="12">
        <v>90</v>
      </c>
      <c r="H612" s="12">
        <v>0</v>
      </c>
      <c r="I612" s="12" t="s">
        <v>210</v>
      </c>
      <c r="J612" s="12" t="s">
        <v>210</v>
      </c>
    </row>
    <row r="613" spans="1:10" ht="26.4" customHeight="1">
      <c r="A613" s="12" t="s">
        <v>2800</v>
      </c>
      <c r="B613" s="14" t="s">
        <v>925</v>
      </c>
      <c r="C613" s="12" t="s">
        <v>60</v>
      </c>
      <c r="D613" s="12" t="s">
        <v>2801</v>
      </c>
      <c r="E613" s="12">
        <v>43</v>
      </c>
      <c r="F613" s="12">
        <v>2000</v>
      </c>
      <c r="G613" s="12">
        <v>130</v>
      </c>
      <c r="H613" s="12">
        <v>0</v>
      </c>
      <c r="I613" s="12" t="s">
        <v>210</v>
      </c>
      <c r="J613" s="12" t="s">
        <v>210</v>
      </c>
    </row>
    <row r="614" spans="1:10" ht="26.4" customHeight="1">
      <c r="A614" s="12" t="s">
        <v>2802</v>
      </c>
      <c r="B614" s="14" t="s">
        <v>925</v>
      </c>
      <c r="C614" s="12" t="s">
        <v>60</v>
      </c>
      <c r="D614" s="12" t="s">
        <v>2803</v>
      </c>
      <c r="E614" s="12">
        <v>25</v>
      </c>
      <c r="F614" s="12">
        <v>1000</v>
      </c>
      <c r="G614" s="12">
        <v>140</v>
      </c>
      <c r="H614" s="12">
        <v>6000</v>
      </c>
      <c r="I614" s="12" t="s">
        <v>210</v>
      </c>
      <c r="J614" s="12" t="s">
        <v>2804</v>
      </c>
    </row>
    <row r="615" spans="1:10" ht="26.4" customHeight="1">
      <c r="A615" s="12" t="s">
        <v>2802</v>
      </c>
      <c r="B615" s="14" t="s">
        <v>925</v>
      </c>
      <c r="C615" s="12" t="s">
        <v>60</v>
      </c>
      <c r="D615" s="12" t="s">
        <v>2805</v>
      </c>
      <c r="E615" s="12">
        <v>22</v>
      </c>
      <c r="F615" s="12">
        <v>2000</v>
      </c>
      <c r="G615" s="12">
        <v>120</v>
      </c>
      <c r="H615" s="12">
        <v>0</v>
      </c>
      <c r="I615" s="12" t="s">
        <v>210</v>
      </c>
      <c r="J615" s="12" t="s">
        <v>2806</v>
      </c>
    </row>
    <row r="616" spans="1:10" ht="26.4" customHeight="1">
      <c r="A616" s="12" t="s">
        <v>2807</v>
      </c>
      <c r="B616" s="14" t="s">
        <v>925</v>
      </c>
      <c r="C616" s="12" t="s">
        <v>60</v>
      </c>
      <c r="D616" s="12" t="s">
        <v>2808</v>
      </c>
      <c r="E616" s="12">
        <v>60</v>
      </c>
      <c r="F616" s="12">
        <v>3000</v>
      </c>
      <c r="G616" s="12">
        <v>250</v>
      </c>
      <c r="H616" s="12">
        <v>3000</v>
      </c>
      <c r="I616" s="12" t="s">
        <v>210</v>
      </c>
      <c r="J616" s="12" t="s">
        <v>2809</v>
      </c>
    </row>
    <row r="617" spans="1:10" ht="26.4" customHeight="1">
      <c r="A617" s="12" t="s">
        <v>2810</v>
      </c>
      <c r="B617" s="14" t="s">
        <v>925</v>
      </c>
      <c r="C617" s="12" t="s">
        <v>59</v>
      </c>
      <c r="D617" s="12" t="s">
        <v>66</v>
      </c>
      <c r="E617" s="12">
        <v>22</v>
      </c>
      <c r="F617" s="12">
        <v>3000</v>
      </c>
      <c r="G617" s="12">
        <v>300</v>
      </c>
      <c r="H617" s="12">
        <v>0</v>
      </c>
      <c r="I617" s="12" t="s">
        <v>210</v>
      </c>
      <c r="J617" s="12" t="s">
        <v>2811</v>
      </c>
    </row>
    <row r="618" spans="1:10" ht="26.4" customHeight="1">
      <c r="A618" s="12" t="s">
        <v>2812</v>
      </c>
      <c r="B618" s="14" t="s">
        <v>925</v>
      </c>
      <c r="C618" s="12" t="s">
        <v>59</v>
      </c>
      <c r="D618" s="12" t="s">
        <v>2813</v>
      </c>
      <c r="E618" s="12">
        <v>65</v>
      </c>
      <c r="F618" s="12">
        <v>10000</v>
      </c>
      <c r="G618" s="12">
        <v>617</v>
      </c>
      <c r="H618" s="12">
        <v>10000</v>
      </c>
      <c r="I618" s="12">
        <v>146</v>
      </c>
      <c r="J618" s="12" t="s">
        <v>210</v>
      </c>
    </row>
    <row r="619" spans="1:10" ht="26.4" customHeight="1">
      <c r="A619" s="12" t="s">
        <v>2814</v>
      </c>
      <c r="B619" s="14" t="s">
        <v>925</v>
      </c>
      <c r="C619" s="12" t="s">
        <v>59</v>
      </c>
      <c r="D619" s="12" t="s">
        <v>2815</v>
      </c>
      <c r="E619" s="12">
        <v>10</v>
      </c>
      <c r="F619" s="12">
        <v>3000</v>
      </c>
      <c r="G619" s="12">
        <v>200</v>
      </c>
      <c r="H619" s="12">
        <v>1000</v>
      </c>
      <c r="I619" s="12">
        <v>12</v>
      </c>
      <c r="J619" s="12" t="s">
        <v>210</v>
      </c>
    </row>
    <row r="620" spans="1:10" ht="26.4" customHeight="1">
      <c r="A620" s="12" t="s">
        <v>2816</v>
      </c>
      <c r="B620" s="14" t="s">
        <v>925</v>
      </c>
      <c r="C620" s="12" t="s">
        <v>59</v>
      </c>
      <c r="D620" s="12" t="s">
        <v>2817</v>
      </c>
      <c r="E620" s="12">
        <v>35</v>
      </c>
      <c r="F620" s="12">
        <v>3000</v>
      </c>
      <c r="G620" s="12">
        <v>300</v>
      </c>
      <c r="H620" s="12">
        <v>7000</v>
      </c>
      <c r="I620" s="12">
        <v>2</v>
      </c>
      <c r="J620" s="12" t="s">
        <v>210</v>
      </c>
    </row>
    <row r="621" spans="1:10" ht="26.4" customHeight="1">
      <c r="A621" s="12" t="s">
        <v>2818</v>
      </c>
      <c r="B621" s="14" t="s">
        <v>925</v>
      </c>
      <c r="C621" s="12" t="s">
        <v>59</v>
      </c>
      <c r="D621" s="12" t="s">
        <v>2819</v>
      </c>
      <c r="E621" s="12">
        <v>41</v>
      </c>
      <c r="F621" s="12">
        <v>5000</v>
      </c>
      <c r="G621" s="12">
        <v>350</v>
      </c>
      <c r="H621" s="12">
        <v>3000</v>
      </c>
      <c r="I621" s="12" t="s">
        <v>210</v>
      </c>
      <c r="J621" s="12" t="s">
        <v>210</v>
      </c>
    </row>
    <row r="622" spans="1:10" ht="26.4" customHeight="1">
      <c r="A622" s="12" t="s">
        <v>2820</v>
      </c>
      <c r="B622" s="14" t="s">
        <v>925</v>
      </c>
      <c r="C622" s="12" t="s">
        <v>59</v>
      </c>
      <c r="D622" s="12" t="s">
        <v>2821</v>
      </c>
      <c r="E622" s="12">
        <v>39</v>
      </c>
      <c r="F622" s="12">
        <v>6000</v>
      </c>
      <c r="G622" s="12">
        <v>640</v>
      </c>
      <c r="H622" s="12">
        <v>16000</v>
      </c>
      <c r="I622" s="12" t="s">
        <v>210</v>
      </c>
      <c r="J622" s="12" t="s">
        <v>2822</v>
      </c>
    </row>
    <row r="623" spans="1:10" ht="26.4" customHeight="1">
      <c r="A623" s="12" t="s">
        <v>2823</v>
      </c>
      <c r="B623" s="14" t="s">
        <v>925</v>
      </c>
      <c r="C623" s="12" t="s">
        <v>59</v>
      </c>
      <c r="D623" s="12" t="s">
        <v>2824</v>
      </c>
      <c r="E623" s="12">
        <v>80</v>
      </c>
      <c r="F623" s="12">
        <v>15000</v>
      </c>
      <c r="G623" s="12">
        <v>800</v>
      </c>
      <c r="H623" s="12">
        <v>22000</v>
      </c>
      <c r="I623" s="12" t="s">
        <v>210</v>
      </c>
      <c r="J623" s="12" t="s">
        <v>2825</v>
      </c>
    </row>
    <row r="624" spans="1:10" ht="26.4" customHeight="1">
      <c r="A624" s="12" t="s">
        <v>2826</v>
      </c>
      <c r="B624" s="14" t="s">
        <v>925</v>
      </c>
      <c r="C624" s="12" t="s">
        <v>59</v>
      </c>
      <c r="D624" s="12" t="s">
        <v>2827</v>
      </c>
      <c r="E624" s="12">
        <v>33.880000000000003</v>
      </c>
      <c r="F624" s="12">
        <v>5000</v>
      </c>
      <c r="G624" s="12">
        <v>250</v>
      </c>
      <c r="H624" s="12">
        <v>0</v>
      </c>
      <c r="I624" s="12" t="s">
        <v>210</v>
      </c>
      <c r="J624" s="12" t="s">
        <v>2828</v>
      </c>
    </row>
    <row r="625" spans="1:10" ht="26.4" customHeight="1">
      <c r="A625" s="12" t="s">
        <v>2829</v>
      </c>
      <c r="B625" s="14" t="s">
        <v>925</v>
      </c>
      <c r="C625" s="12" t="s">
        <v>59</v>
      </c>
      <c r="D625" s="12" t="s">
        <v>2830</v>
      </c>
      <c r="E625" s="12">
        <v>40</v>
      </c>
      <c r="F625" s="12">
        <v>8000</v>
      </c>
      <c r="G625" s="12">
        <v>600</v>
      </c>
      <c r="H625" s="12">
        <v>5000</v>
      </c>
      <c r="I625" s="12" t="s">
        <v>210</v>
      </c>
      <c r="J625" s="12" t="s">
        <v>2831</v>
      </c>
    </row>
    <row r="626" spans="1:10" ht="26.4" customHeight="1">
      <c r="A626" s="12" t="s">
        <v>2832</v>
      </c>
      <c r="B626" s="14" t="s">
        <v>925</v>
      </c>
      <c r="C626" s="12" t="s">
        <v>59</v>
      </c>
      <c r="D626" s="12" t="s">
        <v>2833</v>
      </c>
      <c r="E626" s="12">
        <v>63</v>
      </c>
      <c r="F626" s="12">
        <v>5000</v>
      </c>
      <c r="G626" s="12">
        <v>400</v>
      </c>
      <c r="H626" s="12">
        <v>0</v>
      </c>
      <c r="I626" s="12" t="s">
        <v>210</v>
      </c>
      <c r="J626" s="12" t="s">
        <v>2834</v>
      </c>
    </row>
    <row r="627" spans="1:10" ht="26.4" customHeight="1">
      <c r="A627" s="12" t="s">
        <v>2835</v>
      </c>
      <c r="B627" s="14" t="s">
        <v>925</v>
      </c>
      <c r="C627" s="12" t="s">
        <v>59</v>
      </c>
      <c r="D627" s="12" t="s">
        <v>2836</v>
      </c>
      <c r="E627" s="12">
        <v>18</v>
      </c>
      <c r="F627" s="12">
        <v>5000</v>
      </c>
      <c r="G627" s="12">
        <v>400</v>
      </c>
      <c r="H627" s="12">
        <v>4000</v>
      </c>
      <c r="I627" s="12" t="s">
        <v>210</v>
      </c>
      <c r="J627" s="12" t="s">
        <v>2837</v>
      </c>
    </row>
    <row r="628" spans="1:10" ht="26.4" customHeight="1">
      <c r="A628" s="12" t="s">
        <v>2838</v>
      </c>
      <c r="B628" s="14" t="s">
        <v>925</v>
      </c>
      <c r="C628" s="12" t="s">
        <v>59</v>
      </c>
      <c r="D628" s="12" t="s">
        <v>66</v>
      </c>
      <c r="E628" s="12">
        <v>14</v>
      </c>
      <c r="F628" s="12">
        <v>2000</v>
      </c>
      <c r="G628" s="12">
        <v>140</v>
      </c>
      <c r="H628" s="12">
        <v>0</v>
      </c>
      <c r="I628" s="12" t="s">
        <v>210</v>
      </c>
      <c r="J628" s="12" t="s">
        <v>210</v>
      </c>
    </row>
    <row r="629" spans="1:10" ht="26.4" customHeight="1">
      <c r="A629" s="12" t="s">
        <v>2839</v>
      </c>
      <c r="B629" s="14" t="s">
        <v>925</v>
      </c>
      <c r="C629" s="12" t="s">
        <v>59</v>
      </c>
      <c r="D629" s="12" t="s">
        <v>2840</v>
      </c>
      <c r="E629" s="12">
        <v>20</v>
      </c>
      <c r="F629" s="12">
        <v>5000</v>
      </c>
      <c r="G629" s="12">
        <v>320</v>
      </c>
      <c r="H629" s="12">
        <v>4000</v>
      </c>
      <c r="I629" s="12" t="s">
        <v>210</v>
      </c>
      <c r="J629" s="12" t="s">
        <v>2841</v>
      </c>
    </row>
    <row r="630" spans="1:10" ht="26.4" customHeight="1">
      <c r="A630" s="12" t="s">
        <v>2842</v>
      </c>
      <c r="B630" s="14" t="s">
        <v>925</v>
      </c>
      <c r="C630" s="12" t="s">
        <v>2534</v>
      </c>
      <c r="D630" s="12" t="s">
        <v>2666</v>
      </c>
      <c r="E630" s="12">
        <v>114</v>
      </c>
      <c r="F630" s="12">
        <v>20000</v>
      </c>
      <c r="G630" s="12">
        <v>1000</v>
      </c>
      <c r="H630" s="12">
        <v>0</v>
      </c>
      <c r="I630" s="12" t="s">
        <v>210</v>
      </c>
      <c r="J630" s="12" t="s">
        <v>633</v>
      </c>
    </row>
    <row r="631" spans="1:10" ht="26.4" customHeight="1">
      <c r="A631" s="12" t="s">
        <v>2843</v>
      </c>
      <c r="B631" s="14" t="s">
        <v>925</v>
      </c>
      <c r="C631" s="12" t="s">
        <v>110</v>
      </c>
      <c r="D631" s="12" t="s">
        <v>2844</v>
      </c>
      <c r="E631" s="12">
        <v>47</v>
      </c>
      <c r="F631" s="12">
        <v>5000</v>
      </c>
      <c r="G631" s="12">
        <v>484</v>
      </c>
      <c r="H631" s="12">
        <v>5000</v>
      </c>
      <c r="I631" s="12">
        <v>30</v>
      </c>
      <c r="J631" s="12" t="s">
        <v>2845</v>
      </c>
    </row>
    <row r="632" spans="1:10" ht="26.4" customHeight="1">
      <c r="A632" s="12" t="s">
        <v>2846</v>
      </c>
      <c r="B632" s="14" t="s">
        <v>925</v>
      </c>
      <c r="C632" s="12" t="s">
        <v>59</v>
      </c>
      <c r="D632" s="12" t="s">
        <v>210</v>
      </c>
      <c r="E632" s="12">
        <v>52.46</v>
      </c>
      <c r="F632" s="12">
        <v>6000</v>
      </c>
      <c r="G632" s="12">
        <v>500</v>
      </c>
      <c r="H632" s="12">
        <v>0</v>
      </c>
      <c r="I632" s="12">
        <v>20</v>
      </c>
      <c r="J632" s="12" t="s">
        <v>2847</v>
      </c>
    </row>
    <row r="633" spans="1:10" ht="26.4" customHeight="1">
      <c r="A633" s="12" t="s">
        <v>2848</v>
      </c>
      <c r="B633" s="14" t="s">
        <v>925</v>
      </c>
      <c r="C633" s="12" t="s">
        <v>59</v>
      </c>
      <c r="D633" s="12" t="s">
        <v>2849</v>
      </c>
      <c r="E633" s="12">
        <v>50</v>
      </c>
      <c r="F633" s="12">
        <v>5000</v>
      </c>
      <c r="G633" s="12">
        <v>320</v>
      </c>
      <c r="H633" s="12">
        <v>0</v>
      </c>
      <c r="I633" s="12">
        <v>30</v>
      </c>
      <c r="J633" s="12" t="s">
        <v>2850</v>
      </c>
    </row>
    <row r="634" spans="1:10" ht="26.4" customHeight="1">
      <c r="A634" s="12" t="s">
        <v>2851</v>
      </c>
      <c r="B634" s="14" t="s">
        <v>925</v>
      </c>
      <c r="C634" s="12" t="s">
        <v>110</v>
      </c>
      <c r="D634" s="12" t="s">
        <v>2852</v>
      </c>
      <c r="E634" s="12">
        <v>68</v>
      </c>
      <c r="F634" s="12">
        <v>20000</v>
      </c>
      <c r="G634" s="12">
        <v>1000</v>
      </c>
      <c r="H634" s="12">
        <v>15000</v>
      </c>
      <c r="I634" s="12" t="s">
        <v>210</v>
      </c>
      <c r="J634" s="12" t="s">
        <v>2853</v>
      </c>
    </row>
    <row r="635" spans="1:10" ht="26.4" customHeight="1">
      <c r="A635" s="12" t="s">
        <v>2854</v>
      </c>
      <c r="B635" s="14" t="s">
        <v>925</v>
      </c>
      <c r="C635" s="12" t="s">
        <v>59</v>
      </c>
      <c r="D635" s="12" t="s">
        <v>210</v>
      </c>
      <c r="E635" s="12">
        <v>31</v>
      </c>
      <c r="F635" s="12">
        <v>5000</v>
      </c>
      <c r="G635" s="12">
        <v>500</v>
      </c>
      <c r="H635" s="12">
        <v>0</v>
      </c>
      <c r="I635" s="12">
        <v>20</v>
      </c>
      <c r="J635" s="12" t="s">
        <v>2855</v>
      </c>
    </row>
    <row r="636" spans="1:10" ht="26.4" customHeight="1">
      <c r="A636" s="12" t="s">
        <v>2856</v>
      </c>
      <c r="B636" s="14" t="s">
        <v>925</v>
      </c>
      <c r="C636" s="12" t="s">
        <v>59</v>
      </c>
      <c r="D636" s="12" t="s">
        <v>2857</v>
      </c>
      <c r="E636" s="12">
        <v>45</v>
      </c>
      <c r="F636" s="12">
        <v>10000</v>
      </c>
      <c r="G636" s="12">
        <v>400</v>
      </c>
      <c r="H636" s="12">
        <v>0</v>
      </c>
      <c r="I636" s="12">
        <v>30</v>
      </c>
      <c r="J636" s="12" t="s">
        <v>2858</v>
      </c>
    </row>
    <row r="637" spans="1:10" ht="26.4" customHeight="1">
      <c r="A637" s="12" t="s">
        <v>2859</v>
      </c>
      <c r="B637" s="14" t="s">
        <v>925</v>
      </c>
      <c r="C637" s="12" t="s">
        <v>59</v>
      </c>
      <c r="D637" s="12" t="s">
        <v>2860</v>
      </c>
      <c r="E637" s="12">
        <v>44</v>
      </c>
      <c r="F637" s="12">
        <v>12000</v>
      </c>
      <c r="G637" s="12">
        <v>1000</v>
      </c>
      <c r="H637" s="12">
        <v>20000</v>
      </c>
      <c r="I637" s="12" t="s">
        <v>210</v>
      </c>
      <c r="J637" s="12" t="s">
        <v>2861</v>
      </c>
    </row>
    <row r="638" spans="1:10" ht="26.4" customHeight="1">
      <c r="A638" s="12" t="s">
        <v>2862</v>
      </c>
      <c r="B638" s="14" t="s">
        <v>925</v>
      </c>
      <c r="C638" s="12" t="s">
        <v>59</v>
      </c>
      <c r="D638" s="12" t="s">
        <v>2301</v>
      </c>
      <c r="E638" s="12">
        <v>15</v>
      </c>
      <c r="F638" s="12">
        <v>2000</v>
      </c>
      <c r="G638" s="12">
        <v>170</v>
      </c>
      <c r="H638" s="12">
        <v>3000</v>
      </c>
      <c r="I638" s="12" t="s">
        <v>210</v>
      </c>
      <c r="J638" s="12" t="s">
        <v>210</v>
      </c>
    </row>
    <row r="639" spans="1:10" ht="26.4" customHeight="1">
      <c r="A639" s="12" t="s">
        <v>2863</v>
      </c>
      <c r="B639" s="14" t="s">
        <v>925</v>
      </c>
      <c r="C639" s="12" t="s">
        <v>59</v>
      </c>
      <c r="D639" s="12" t="s">
        <v>2864</v>
      </c>
      <c r="E639" s="12">
        <v>47</v>
      </c>
      <c r="F639" s="12">
        <v>20000</v>
      </c>
      <c r="G639" s="12">
        <v>500</v>
      </c>
      <c r="H639" s="12">
        <v>0</v>
      </c>
      <c r="I639" s="12" t="s">
        <v>210</v>
      </c>
      <c r="J639" s="12" t="s">
        <v>633</v>
      </c>
    </row>
    <row r="640" spans="1:10" ht="26.4" customHeight="1">
      <c r="A640" s="12" t="s">
        <v>2865</v>
      </c>
      <c r="B640" s="14" t="s">
        <v>925</v>
      </c>
      <c r="C640" s="12" t="s">
        <v>59</v>
      </c>
      <c r="D640" s="12" t="s">
        <v>2866</v>
      </c>
      <c r="E640" s="12">
        <v>12</v>
      </c>
      <c r="F640" s="12">
        <v>10000</v>
      </c>
      <c r="G640" s="12">
        <v>400</v>
      </c>
      <c r="H640" s="12">
        <v>0</v>
      </c>
      <c r="I640" s="12" t="s">
        <v>210</v>
      </c>
      <c r="J640" s="12" t="s">
        <v>2867</v>
      </c>
    </row>
    <row r="641" spans="1:10" ht="26.4" customHeight="1">
      <c r="A641" s="12" t="s">
        <v>2865</v>
      </c>
      <c r="B641" s="14" t="s">
        <v>925</v>
      </c>
      <c r="C641" s="12" t="s">
        <v>59</v>
      </c>
      <c r="D641" s="12" t="s">
        <v>2868</v>
      </c>
      <c r="E641" s="12">
        <v>24</v>
      </c>
      <c r="F641" s="12">
        <v>15000</v>
      </c>
      <c r="G641" s="12">
        <v>800</v>
      </c>
      <c r="H641" s="12">
        <v>0</v>
      </c>
      <c r="I641" s="12" t="s">
        <v>210</v>
      </c>
      <c r="J641" s="12" t="s">
        <v>2869</v>
      </c>
    </row>
    <row r="642" spans="1:10" ht="26.4" customHeight="1">
      <c r="A642" s="12" t="s">
        <v>2870</v>
      </c>
      <c r="B642" s="14" t="s">
        <v>925</v>
      </c>
      <c r="C642" s="12" t="s">
        <v>59</v>
      </c>
      <c r="D642" s="12" t="s">
        <v>2871</v>
      </c>
      <c r="E642" s="12">
        <v>76</v>
      </c>
      <c r="F642" s="12">
        <v>15000</v>
      </c>
      <c r="G642" s="12">
        <v>1300</v>
      </c>
      <c r="H642" s="12">
        <v>15000</v>
      </c>
      <c r="I642" s="12">
        <v>0</v>
      </c>
      <c r="J642" s="12" t="s">
        <v>2872</v>
      </c>
    </row>
    <row r="643" spans="1:10" ht="26.4" customHeight="1">
      <c r="A643" s="12" t="s">
        <v>2873</v>
      </c>
      <c r="B643" s="14" t="s">
        <v>925</v>
      </c>
      <c r="C643" s="12" t="s">
        <v>2244</v>
      </c>
      <c r="D643" s="12" t="s">
        <v>2244</v>
      </c>
      <c r="E643" s="12">
        <v>37</v>
      </c>
      <c r="F643" s="12">
        <v>5000</v>
      </c>
      <c r="G643" s="12">
        <v>320</v>
      </c>
      <c r="H643" s="12">
        <v>6000</v>
      </c>
      <c r="I643" s="12">
        <v>0</v>
      </c>
      <c r="J643" s="12" t="s">
        <v>2874</v>
      </c>
    </row>
    <row r="644" spans="1:10" ht="26.4" customHeight="1">
      <c r="A644" s="12" t="s">
        <v>2875</v>
      </c>
      <c r="B644" s="14" t="s">
        <v>925</v>
      </c>
      <c r="C644" s="12" t="s">
        <v>59</v>
      </c>
      <c r="D644" s="12" t="s">
        <v>2461</v>
      </c>
      <c r="E644" s="12">
        <v>17</v>
      </c>
      <c r="F644" s="12">
        <v>3000</v>
      </c>
      <c r="G644" s="12">
        <v>300</v>
      </c>
      <c r="H644" s="12">
        <v>0</v>
      </c>
      <c r="I644" s="12">
        <v>4</v>
      </c>
      <c r="J644" s="12" t="s">
        <v>2876</v>
      </c>
    </row>
    <row r="645" spans="1:10" ht="26.4" customHeight="1">
      <c r="A645" s="12" t="s">
        <v>2877</v>
      </c>
      <c r="B645" s="14" t="s">
        <v>925</v>
      </c>
      <c r="C645" s="12" t="s">
        <v>59</v>
      </c>
      <c r="D645" s="12" t="s">
        <v>136</v>
      </c>
      <c r="E645" s="12">
        <v>20</v>
      </c>
      <c r="F645" s="12">
        <v>3000</v>
      </c>
      <c r="G645" s="12">
        <v>230</v>
      </c>
      <c r="H645" s="12">
        <v>1500</v>
      </c>
      <c r="I645" s="12" t="s">
        <v>210</v>
      </c>
      <c r="J645" s="12" t="s">
        <v>210</v>
      </c>
    </row>
    <row r="647" spans="1:10" ht="26.4" customHeight="1">
      <c r="A647" s="13" t="s">
        <v>0</v>
      </c>
      <c r="B647" s="13" t="s">
        <v>2647</v>
      </c>
      <c r="C647" s="13" t="s">
        <v>2</v>
      </c>
      <c r="D647" s="13" t="s">
        <v>1453</v>
      </c>
      <c r="E647" s="13" t="s">
        <v>3</v>
      </c>
      <c r="F647" s="13" t="s">
        <v>919</v>
      </c>
      <c r="G647" s="13" t="s">
        <v>920</v>
      </c>
      <c r="H647" s="13" t="s">
        <v>921</v>
      </c>
      <c r="I647" s="13" t="s">
        <v>922</v>
      </c>
      <c r="J647" s="13" t="s">
        <v>8</v>
      </c>
    </row>
    <row r="648" spans="1:10" ht="26.4" customHeight="1">
      <c r="A648" s="12" t="s">
        <v>2878</v>
      </c>
      <c r="B648" s="14" t="s">
        <v>925</v>
      </c>
      <c r="C648" s="12" t="s">
        <v>2244</v>
      </c>
      <c r="D648" s="12" t="s">
        <v>66</v>
      </c>
      <c r="E648" s="12">
        <v>54</v>
      </c>
      <c r="F648" s="12">
        <v>5000</v>
      </c>
      <c r="G648" s="12">
        <v>550</v>
      </c>
      <c r="H648" s="12">
        <v>0</v>
      </c>
      <c r="I648" s="12" t="s">
        <v>210</v>
      </c>
      <c r="J648" s="12" t="s">
        <v>2879</v>
      </c>
    </row>
    <row r="649" spans="1:10" ht="26.4" customHeight="1">
      <c r="A649" s="12" t="s">
        <v>2880</v>
      </c>
      <c r="B649" s="14" t="s">
        <v>925</v>
      </c>
      <c r="C649" s="12" t="s">
        <v>59</v>
      </c>
      <c r="D649" s="12" t="s">
        <v>66</v>
      </c>
      <c r="E649" s="12">
        <v>26</v>
      </c>
      <c r="F649" s="12">
        <v>5000</v>
      </c>
      <c r="G649" s="12">
        <v>420</v>
      </c>
      <c r="H649" s="12">
        <v>0</v>
      </c>
      <c r="I649" s="12">
        <v>30</v>
      </c>
      <c r="J649" s="12" t="s">
        <v>2881</v>
      </c>
    </row>
    <row r="650" spans="1:10" ht="26.4" customHeight="1">
      <c r="A650" s="12" t="s">
        <v>2882</v>
      </c>
      <c r="B650" s="14" t="s">
        <v>925</v>
      </c>
      <c r="C650" s="12" t="s">
        <v>59</v>
      </c>
      <c r="D650" s="12" t="s">
        <v>1521</v>
      </c>
      <c r="E650" s="12">
        <v>44</v>
      </c>
      <c r="F650" s="12">
        <v>3000</v>
      </c>
      <c r="G650" s="12">
        <v>350</v>
      </c>
      <c r="H650" s="12">
        <v>10000</v>
      </c>
      <c r="I650" s="12">
        <v>40</v>
      </c>
      <c r="J650" s="12" t="s">
        <v>2883</v>
      </c>
    </row>
    <row r="651" spans="1:10" ht="26.4" customHeight="1">
      <c r="A651" s="12" t="s">
        <v>2884</v>
      </c>
      <c r="B651" s="14" t="s">
        <v>925</v>
      </c>
      <c r="C651" s="12" t="s">
        <v>59</v>
      </c>
      <c r="D651" s="12" t="s">
        <v>2885</v>
      </c>
      <c r="E651" s="12">
        <v>22</v>
      </c>
      <c r="F651" s="12">
        <v>3000</v>
      </c>
      <c r="G651" s="12">
        <v>220</v>
      </c>
      <c r="H651" s="12">
        <v>0</v>
      </c>
      <c r="I651" s="12">
        <v>10</v>
      </c>
      <c r="J651" s="12" t="s">
        <v>2886</v>
      </c>
    </row>
    <row r="652" spans="1:10" ht="26.4" customHeight="1">
      <c r="A652" s="12" t="s">
        <v>154</v>
      </c>
      <c r="B652" s="14" t="s">
        <v>925</v>
      </c>
      <c r="C652" s="12" t="s">
        <v>59</v>
      </c>
      <c r="D652" s="12" t="s">
        <v>2887</v>
      </c>
      <c r="E652" s="12">
        <v>37</v>
      </c>
      <c r="F652" s="12">
        <v>5000</v>
      </c>
      <c r="G652" s="12">
        <v>355</v>
      </c>
      <c r="H652" s="12">
        <v>20000</v>
      </c>
      <c r="I652" s="12" t="s">
        <v>210</v>
      </c>
      <c r="J652" s="12" t="s">
        <v>2888</v>
      </c>
    </row>
    <row r="653" spans="1:10" ht="26.4" customHeight="1">
      <c r="A653" s="12" t="s">
        <v>2889</v>
      </c>
      <c r="B653" s="14" t="s">
        <v>925</v>
      </c>
      <c r="C653" s="12" t="s">
        <v>59</v>
      </c>
      <c r="D653" s="12" t="s">
        <v>2890</v>
      </c>
      <c r="E653" s="12">
        <v>32</v>
      </c>
      <c r="F653" s="12">
        <v>4000</v>
      </c>
      <c r="G653" s="12">
        <v>280</v>
      </c>
      <c r="H653" s="12">
        <v>13000</v>
      </c>
      <c r="I653" s="12" t="s">
        <v>210</v>
      </c>
      <c r="J653" s="12" t="s">
        <v>2891</v>
      </c>
    </row>
    <row r="654" spans="1:10" ht="26.4" customHeight="1">
      <c r="A654" s="12" t="s">
        <v>378</v>
      </c>
      <c r="B654" s="14" t="s">
        <v>925</v>
      </c>
      <c r="C654" s="12" t="s">
        <v>59</v>
      </c>
      <c r="D654" s="12" t="s">
        <v>2892</v>
      </c>
      <c r="E654" s="12">
        <v>32</v>
      </c>
      <c r="F654" s="12">
        <v>7000</v>
      </c>
      <c r="G654" s="12">
        <v>330</v>
      </c>
      <c r="H654" s="12">
        <v>8000</v>
      </c>
      <c r="I654" s="12" t="s">
        <v>210</v>
      </c>
      <c r="J654" s="12" t="s">
        <v>2893</v>
      </c>
    </row>
    <row r="655" spans="1:10" ht="26.4" customHeight="1">
      <c r="A655" s="12" t="s">
        <v>2894</v>
      </c>
      <c r="B655" s="14" t="s">
        <v>925</v>
      </c>
      <c r="C655" s="12" t="s">
        <v>59</v>
      </c>
      <c r="D655" s="12" t="s">
        <v>573</v>
      </c>
      <c r="E655" s="12">
        <v>40</v>
      </c>
      <c r="F655" s="12">
        <v>3000</v>
      </c>
      <c r="G655" s="12">
        <v>310</v>
      </c>
      <c r="H655" s="12">
        <v>8000</v>
      </c>
      <c r="I655" s="12">
        <v>4</v>
      </c>
      <c r="J655" s="12" t="s">
        <v>2895</v>
      </c>
    </row>
    <row r="656" spans="1:10" ht="26.4" customHeight="1">
      <c r="A656" s="12" t="s">
        <v>2896</v>
      </c>
      <c r="B656" s="14" t="s">
        <v>925</v>
      </c>
      <c r="C656" s="12" t="s">
        <v>59</v>
      </c>
      <c r="D656" s="12" t="s">
        <v>2897</v>
      </c>
      <c r="E656" s="12">
        <v>25</v>
      </c>
      <c r="F656" s="12">
        <v>5000</v>
      </c>
      <c r="G656" s="12">
        <v>350</v>
      </c>
      <c r="H656" s="12">
        <v>0</v>
      </c>
      <c r="I656" s="12" t="s">
        <v>210</v>
      </c>
      <c r="J656" s="12" t="s">
        <v>2898</v>
      </c>
    </row>
    <row r="657" spans="1:10" ht="26.4" customHeight="1">
      <c r="A657" s="12" t="s">
        <v>2899</v>
      </c>
      <c r="B657" s="14" t="s">
        <v>925</v>
      </c>
      <c r="C657" s="12" t="s">
        <v>59</v>
      </c>
      <c r="D657" s="12" t="s">
        <v>2900</v>
      </c>
      <c r="E657" s="12">
        <v>32</v>
      </c>
      <c r="F657" s="12">
        <v>3000</v>
      </c>
      <c r="G657" s="12">
        <v>200</v>
      </c>
      <c r="H657" s="12">
        <v>5000</v>
      </c>
      <c r="I657" s="12" t="s">
        <v>210</v>
      </c>
      <c r="J657" s="12" t="s">
        <v>2901</v>
      </c>
    </row>
    <row r="658" spans="1:10" ht="26.4" customHeight="1">
      <c r="A658" s="12" t="s">
        <v>2902</v>
      </c>
      <c r="B658" s="14" t="s">
        <v>925</v>
      </c>
      <c r="C658" s="12" t="s">
        <v>59</v>
      </c>
      <c r="D658" s="12" t="s">
        <v>66</v>
      </c>
      <c r="E658" s="12">
        <v>35</v>
      </c>
      <c r="F658" s="12">
        <v>6000</v>
      </c>
      <c r="G658" s="12">
        <v>300</v>
      </c>
      <c r="H658" s="12">
        <v>0</v>
      </c>
      <c r="I658" s="12">
        <v>50</v>
      </c>
      <c r="J658" s="12" t="s">
        <v>2903</v>
      </c>
    </row>
    <row r="659" spans="1:10" ht="26.4" customHeight="1">
      <c r="A659" s="12" t="s">
        <v>369</v>
      </c>
      <c r="B659" s="14" t="s">
        <v>925</v>
      </c>
      <c r="C659" s="12" t="s">
        <v>59</v>
      </c>
      <c r="D659" s="12" t="s">
        <v>2904</v>
      </c>
      <c r="E659" s="12">
        <v>42</v>
      </c>
      <c r="F659" s="12">
        <v>15000</v>
      </c>
      <c r="G659" s="12">
        <v>650</v>
      </c>
      <c r="H659" s="12">
        <v>20000</v>
      </c>
      <c r="I659" s="12" t="s">
        <v>210</v>
      </c>
      <c r="J659" s="12" t="s">
        <v>210</v>
      </c>
    </row>
    <row r="660" spans="1:10" ht="26.4" customHeight="1">
      <c r="A660" s="12" t="s">
        <v>2905</v>
      </c>
      <c r="B660" s="14" t="s">
        <v>925</v>
      </c>
      <c r="C660" s="12" t="s">
        <v>2244</v>
      </c>
      <c r="D660" s="12" t="s">
        <v>2906</v>
      </c>
      <c r="E660" s="12">
        <v>71</v>
      </c>
      <c r="F660" s="12">
        <v>10000</v>
      </c>
      <c r="G660" s="12">
        <v>800</v>
      </c>
      <c r="H660" s="12">
        <v>50000</v>
      </c>
      <c r="I660" s="12" t="s">
        <v>210</v>
      </c>
      <c r="J660" s="12" t="s">
        <v>2907</v>
      </c>
    </row>
    <row r="661" spans="1:10" ht="26.4" customHeight="1">
      <c r="A661" s="12" t="s">
        <v>2908</v>
      </c>
      <c r="B661" s="14" t="s">
        <v>925</v>
      </c>
      <c r="C661" s="12" t="s">
        <v>2244</v>
      </c>
      <c r="D661" s="12" t="s">
        <v>66</v>
      </c>
      <c r="E661" s="12">
        <v>110</v>
      </c>
      <c r="F661" s="12">
        <v>20000</v>
      </c>
      <c r="G661" s="12">
        <v>1000</v>
      </c>
      <c r="H661" s="12">
        <v>0</v>
      </c>
      <c r="I661" s="12" t="s">
        <v>210</v>
      </c>
      <c r="J661" s="12" t="s">
        <v>2909</v>
      </c>
    </row>
    <row r="662" spans="1:10" ht="26.4" customHeight="1">
      <c r="A662" s="12" t="s">
        <v>2910</v>
      </c>
      <c r="B662" s="14" t="s">
        <v>925</v>
      </c>
      <c r="C662" s="12" t="s">
        <v>59</v>
      </c>
      <c r="D662" s="12" t="s">
        <v>2911</v>
      </c>
      <c r="E662" s="12">
        <v>33</v>
      </c>
      <c r="F662" s="12">
        <v>16400</v>
      </c>
      <c r="G662" s="12">
        <v>650</v>
      </c>
      <c r="H662" s="12">
        <v>0</v>
      </c>
      <c r="I662" s="12" t="s">
        <v>210</v>
      </c>
      <c r="J662" s="12" t="s">
        <v>210</v>
      </c>
    </row>
    <row r="663" spans="1:10" ht="26.4" customHeight="1">
      <c r="A663" s="12" t="s">
        <v>2912</v>
      </c>
      <c r="B663" s="14" t="s">
        <v>925</v>
      </c>
      <c r="C663" s="12" t="s">
        <v>59</v>
      </c>
      <c r="D663" s="12" t="s">
        <v>2913</v>
      </c>
      <c r="E663" s="12">
        <v>80</v>
      </c>
      <c r="F663" s="12">
        <v>24900</v>
      </c>
      <c r="G663" s="12">
        <v>990</v>
      </c>
      <c r="H663" s="12">
        <v>0</v>
      </c>
      <c r="I663" s="12" t="s">
        <v>210</v>
      </c>
      <c r="J663" s="12" t="s">
        <v>210</v>
      </c>
    </row>
    <row r="664" spans="1:10" ht="26.4" customHeight="1">
      <c r="A664" s="12" t="s">
        <v>2793</v>
      </c>
      <c r="B664" s="14" t="s">
        <v>925</v>
      </c>
      <c r="C664" s="12" t="s">
        <v>60</v>
      </c>
      <c r="D664" s="12" t="s">
        <v>2914</v>
      </c>
      <c r="E664" s="12">
        <v>36</v>
      </c>
      <c r="F664" s="12">
        <v>2000</v>
      </c>
      <c r="G664" s="12">
        <v>126</v>
      </c>
      <c r="H664" s="12">
        <v>1000</v>
      </c>
      <c r="I664" s="12" t="s">
        <v>210</v>
      </c>
      <c r="J664" s="12" t="s">
        <v>210</v>
      </c>
    </row>
    <row r="665" spans="1:10" ht="26.4" customHeight="1">
      <c r="A665" s="12" t="s">
        <v>2915</v>
      </c>
      <c r="B665" s="14" t="s">
        <v>925</v>
      </c>
      <c r="C665" s="12" t="s">
        <v>60</v>
      </c>
      <c r="D665" s="12" t="s">
        <v>2916</v>
      </c>
      <c r="E665" s="12">
        <v>30</v>
      </c>
      <c r="F665" s="12">
        <v>3000</v>
      </c>
      <c r="G665" s="12">
        <v>200</v>
      </c>
      <c r="H665" s="12">
        <v>10000</v>
      </c>
      <c r="I665" s="12" t="s">
        <v>210</v>
      </c>
      <c r="J665" s="12" t="s">
        <v>2917</v>
      </c>
    </row>
    <row r="666" spans="1:10" ht="26.4" customHeight="1">
      <c r="A666" s="12" t="s">
        <v>2918</v>
      </c>
      <c r="B666" s="14" t="s">
        <v>925</v>
      </c>
      <c r="C666" s="12" t="s">
        <v>59</v>
      </c>
      <c r="D666" s="12" t="s">
        <v>2919</v>
      </c>
      <c r="E666" s="12">
        <v>25</v>
      </c>
      <c r="F666" s="12">
        <v>4000</v>
      </c>
      <c r="G666" s="12">
        <v>260</v>
      </c>
      <c r="H666" s="12">
        <v>6000</v>
      </c>
      <c r="I666" s="12" t="s">
        <v>210</v>
      </c>
      <c r="J666" s="12" t="s">
        <v>2920</v>
      </c>
    </row>
    <row r="667" spans="1:10" ht="26.4" customHeight="1">
      <c r="A667" s="12" t="s">
        <v>2921</v>
      </c>
      <c r="B667" s="14" t="s">
        <v>925</v>
      </c>
      <c r="C667" s="12" t="s">
        <v>2922</v>
      </c>
      <c r="D667" s="12" t="s">
        <v>66</v>
      </c>
      <c r="E667" s="12">
        <v>80</v>
      </c>
      <c r="F667" s="12">
        <v>15000</v>
      </c>
      <c r="G667" s="12">
        <v>1500</v>
      </c>
      <c r="H667" s="12">
        <v>0</v>
      </c>
      <c r="I667" s="12">
        <v>200</v>
      </c>
      <c r="J667" s="12" t="s">
        <v>2923</v>
      </c>
    </row>
    <row r="668" spans="1:10" ht="26.4" customHeight="1">
      <c r="A668" s="12" t="s">
        <v>2924</v>
      </c>
      <c r="B668" s="14" t="s">
        <v>925</v>
      </c>
      <c r="C668" s="12" t="s">
        <v>59</v>
      </c>
      <c r="D668" s="12" t="s">
        <v>2925</v>
      </c>
      <c r="E668" s="12">
        <v>11</v>
      </c>
      <c r="F668" s="12">
        <v>10000</v>
      </c>
      <c r="G668" s="12">
        <v>400</v>
      </c>
      <c r="H668" s="12">
        <v>3000</v>
      </c>
      <c r="I668" s="12" t="s">
        <v>210</v>
      </c>
      <c r="J668" s="12" t="s">
        <v>210</v>
      </c>
    </row>
    <row r="670" spans="1:10" ht="26.4" customHeight="1">
      <c r="A670" s="13" t="s">
        <v>0</v>
      </c>
      <c r="B670" s="13" t="s">
        <v>2647</v>
      </c>
      <c r="C670" s="13" t="s">
        <v>2</v>
      </c>
      <c r="D670" s="13" t="s">
        <v>1453</v>
      </c>
      <c r="E670" s="13" t="s">
        <v>3</v>
      </c>
      <c r="F670" s="13" t="s">
        <v>919</v>
      </c>
      <c r="G670" s="13" t="s">
        <v>920</v>
      </c>
      <c r="H670" s="13" t="s">
        <v>921</v>
      </c>
      <c r="I670" s="13" t="s">
        <v>922</v>
      </c>
      <c r="J670" s="13" t="s">
        <v>8</v>
      </c>
    </row>
    <row r="671" spans="1:10" ht="26.4" customHeight="1">
      <c r="A671" s="12" t="s">
        <v>2926</v>
      </c>
      <c r="B671" s="14" t="s">
        <v>925</v>
      </c>
      <c r="C671" s="12" t="s">
        <v>59</v>
      </c>
      <c r="D671" s="12" t="s">
        <v>66</v>
      </c>
      <c r="E671" s="12">
        <v>30</v>
      </c>
      <c r="F671" s="12">
        <v>10000</v>
      </c>
      <c r="G671" s="12">
        <v>650</v>
      </c>
      <c r="H671" s="12">
        <v>0</v>
      </c>
      <c r="I671" s="12">
        <v>20</v>
      </c>
      <c r="J671" s="12" t="s">
        <v>2927</v>
      </c>
    </row>
    <row r="672" spans="1:10" ht="26.4" customHeight="1">
      <c r="A672" s="12" t="s">
        <v>2928</v>
      </c>
      <c r="B672" s="14" t="s">
        <v>925</v>
      </c>
      <c r="C672" s="12" t="s">
        <v>59</v>
      </c>
      <c r="D672" s="12" t="s">
        <v>2929</v>
      </c>
      <c r="E672" s="12">
        <v>32</v>
      </c>
      <c r="F672" s="12">
        <v>8000</v>
      </c>
      <c r="G672" s="12">
        <v>735</v>
      </c>
      <c r="H672" s="12">
        <v>19000</v>
      </c>
      <c r="I672" s="12">
        <v>0</v>
      </c>
      <c r="J672" s="12" t="s">
        <v>210</v>
      </c>
    </row>
    <row r="673" spans="1:10" ht="26.4" customHeight="1">
      <c r="A673" s="12" t="s">
        <v>2930</v>
      </c>
      <c r="B673" s="14" t="s">
        <v>925</v>
      </c>
      <c r="C673" s="12" t="s">
        <v>2922</v>
      </c>
      <c r="D673" s="12" t="s">
        <v>66</v>
      </c>
      <c r="E673" s="12">
        <v>20</v>
      </c>
      <c r="F673" s="12">
        <v>4000</v>
      </c>
      <c r="G673" s="12">
        <v>300</v>
      </c>
      <c r="H673" s="12">
        <v>0</v>
      </c>
      <c r="I673" s="12" t="s">
        <v>210</v>
      </c>
      <c r="J673" s="12" t="s">
        <v>210</v>
      </c>
    </row>
    <row r="674" spans="1:10" ht="26.4" customHeight="1">
      <c r="A674" s="12" t="s">
        <v>2930</v>
      </c>
      <c r="B674" s="14" t="s">
        <v>925</v>
      </c>
      <c r="C674" s="12" t="s">
        <v>2931</v>
      </c>
      <c r="D674" s="12" t="s">
        <v>66</v>
      </c>
      <c r="E674" s="12">
        <v>48</v>
      </c>
      <c r="F674" s="12">
        <v>9000</v>
      </c>
      <c r="G674" s="12">
        <v>700</v>
      </c>
      <c r="H674" s="12">
        <v>0</v>
      </c>
      <c r="I674" s="12" t="s">
        <v>210</v>
      </c>
      <c r="J674" s="12" t="s">
        <v>2932</v>
      </c>
    </row>
    <row r="675" spans="1:10" ht="26.4" customHeight="1">
      <c r="A675" s="12" t="s">
        <v>2930</v>
      </c>
      <c r="B675" s="14" t="s">
        <v>925</v>
      </c>
      <c r="C675" s="12" t="s">
        <v>59</v>
      </c>
      <c r="D675" s="12" t="s">
        <v>2933</v>
      </c>
      <c r="E675" s="12">
        <v>20</v>
      </c>
      <c r="F675" s="12">
        <v>3000</v>
      </c>
      <c r="G675" s="12">
        <v>320</v>
      </c>
      <c r="H675" s="12">
        <v>10000</v>
      </c>
      <c r="I675" s="12">
        <v>0</v>
      </c>
      <c r="J675" s="12" t="s">
        <v>210</v>
      </c>
    </row>
    <row r="676" spans="1:10" ht="26.4" customHeight="1">
      <c r="A676" s="12" t="s">
        <v>2934</v>
      </c>
      <c r="B676" s="14" t="s">
        <v>925</v>
      </c>
      <c r="C676" s="12" t="s">
        <v>2534</v>
      </c>
      <c r="D676" s="12" t="s">
        <v>66</v>
      </c>
      <c r="E676" s="12">
        <v>40</v>
      </c>
      <c r="F676" s="12">
        <v>10000</v>
      </c>
      <c r="G676" s="12">
        <v>600</v>
      </c>
      <c r="H676" s="12">
        <v>0</v>
      </c>
      <c r="I676" s="12">
        <v>0</v>
      </c>
      <c r="J676" s="12" t="s">
        <v>2935</v>
      </c>
    </row>
    <row r="677" spans="1:10" ht="26.4" customHeight="1">
      <c r="A677" s="12" t="s">
        <v>2936</v>
      </c>
      <c r="B677" s="14" t="s">
        <v>925</v>
      </c>
      <c r="C677" s="12" t="s">
        <v>2937</v>
      </c>
      <c r="D677" s="12" t="s">
        <v>2938</v>
      </c>
      <c r="E677" s="12">
        <v>70</v>
      </c>
      <c r="F677" s="12">
        <v>10000</v>
      </c>
      <c r="G677" s="12">
        <v>950</v>
      </c>
      <c r="H677" s="12">
        <v>0</v>
      </c>
      <c r="I677" s="12">
        <v>20</v>
      </c>
      <c r="J677" s="12" t="s">
        <v>2939</v>
      </c>
    </row>
    <row r="678" spans="1:10" ht="26.4" customHeight="1">
      <c r="A678" s="12" t="s">
        <v>2940</v>
      </c>
      <c r="B678" s="14" t="s">
        <v>925</v>
      </c>
      <c r="C678" s="12" t="s">
        <v>59</v>
      </c>
      <c r="D678" s="12" t="s">
        <v>2941</v>
      </c>
      <c r="E678" s="12">
        <v>36</v>
      </c>
      <c r="F678" s="12">
        <v>5000</v>
      </c>
      <c r="G678" s="12">
        <v>570</v>
      </c>
      <c r="H678" s="12">
        <v>8000</v>
      </c>
      <c r="I678" s="12">
        <v>30</v>
      </c>
      <c r="J678" s="12" t="s">
        <v>2942</v>
      </c>
    </row>
    <row r="679" spans="1:10" ht="26.4" customHeight="1">
      <c r="A679" s="12" t="s">
        <v>2943</v>
      </c>
      <c r="B679" s="14" t="s">
        <v>925</v>
      </c>
      <c r="C679" s="12" t="s">
        <v>59</v>
      </c>
      <c r="D679" s="12" t="s">
        <v>2944</v>
      </c>
      <c r="E679" s="12">
        <v>42</v>
      </c>
      <c r="F679" s="12">
        <v>10000</v>
      </c>
      <c r="G679" s="12">
        <v>700</v>
      </c>
      <c r="H679" s="12">
        <v>30000</v>
      </c>
      <c r="I679" s="12" t="s">
        <v>210</v>
      </c>
      <c r="J679" s="12" t="s">
        <v>210</v>
      </c>
    </row>
    <row r="680" spans="1:10" ht="26.4" customHeight="1">
      <c r="A680" s="12" t="s">
        <v>2945</v>
      </c>
      <c r="B680" s="14" t="s">
        <v>925</v>
      </c>
      <c r="C680" s="12" t="s">
        <v>59</v>
      </c>
      <c r="D680" s="12" t="s">
        <v>2946</v>
      </c>
      <c r="E680" s="12">
        <v>35</v>
      </c>
      <c r="F680" s="12">
        <v>4000</v>
      </c>
      <c r="G680" s="12">
        <v>400</v>
      </c>
      <c r="H680" s="12">
        <v>15000</v>
      </c>
      <c r="I680" s="12" t="s">
        <v>210</v>
      </c>
      <c r="J680" s="12" t="s">
        <v>2591</v>
      </c>
    </row>
    <row r="681" spans="1:10" ht="26.4" customHeight="1">
      <c r="A681" s="12" t="s">
        <v>2947</v>
      </c>
      <c r="B681" s="14" t="s">
        <v>925</v>
      </c>
      <c r="C681" s="12" t="s">
        <v>59</v>
      </c>
      <c r="D681" s="12" t="s">
        <v>2948</v>
      </c>
      <c r="E681" s="12">
        <v>50</v>
      </c>
      <c r="F681" s="12">
        <v>2000</v>
      </c>
      <c r="G681" s="12">
        <v>330</v>
      </c>
      <c r="H681" s="12">
        <v>30000</v>
      </c>
      <c r="I681" s="12" t="s">
        <v>210</v>
      </c>
      <c r="J681" s="12" t="s">
        <v>2949</v>
      </c>
    </row>
    <row r="682" spans="1:10" ht="26.4" customHeight="1">
      <c r="A682" s="12" t="s">
        <v>2950</v>
      </c>
      <c r="B682" s="14" t="s">
        <v>925</v>
      </c>
      <c r="C682" s="12" t="s">
        <v>59</v>
      </c>
      <c r="D682" s="12" t="s">
        <v>2951</v>
      </c>
      <c r="E682" s="12">
        <v>22</v>
      </c>
      <c r="F682" s="12">
        <v>4000</v>
      </c>
      <c r="G682" s="12">
        <v>250</v>
      </c>
      <c r="H682" s="12">
        <v>5000</v>
      </c>
      <c r="I682" s="12">
        <v>40</v>
      </c>
      <c r="J682" s="12" t="s">
        <v>2952</v>
      </c>
    </row>
    <row r="683" spans="1:10" ht="26.4" customHeight="1">
      <c r="A683" s="12" t="s">
        <v>2953</v>
      </c>
      <c r="B683" s="14" t="s">
        <v>925</v>
      </c>
      <c r="C683" s="12" t="s">
        <v>59</v>
      </c>
      <c r="D683" s="12" t="s">
        <v>2954</v>
      </c>
      <c r="E683" s="12">
        <v>33</v>
      </c>
      <c r="F683" s="12">
        <v>3000</v>
      </c>
      <c r="G683" s="12">
        <v>280</v>
      </c>
      <c r="H683" s="12">
        <v>7000</v>
      </c>
      <c r="I683" s="12">
        <v>5</v>
      </c>
      <c r="J683" s="12" t="s">
        <v>2955</v>
      </c>
    </row>
    <row r="684" spans="1:10" ht="26.4" customHeight="1">
      <c r="A684" s="12" t="s">
        <v>2956</v>
      </c>
      <c r="B684" s="14" t="s">
        <v>925</v>
      </c>
      <c r="C684" s="12" t="s">
        <v>59</v>
      </c>
      <c r="D684" s="12" t="s">
        <v>2957</v>
      </c>
      <c r="E684" s="12">
        <v>34</v>
      </c>
      <c r="F684" s="12">
        <v>3000</v>
      </c>
      <c r="G684" s="12">
        <v>300</v>
      </c>
      <c r="H684" s="12">
        <v>10000</v>
      </c>
      <c r="I684" s="12">
        <v>0</v>
      </c>
      <c r="J684" s="12" t="s">
        <v>2958</v>
      </c>
    </row>
    <row r="685" spans="1:10" ht="26.4" customHeight="1">
      <c r="A685" s="12" t="s">
        <v>2959</v>
      </c>
      <c r="B685" s="14" t="s">
        <v>925</v>
      </c>
      <c r="C685" s="12" t="s">
        <v>59</v>
      </c>
      <c r="D685" s="12" t="s">
        <v>2960</v>
      </c>
      <c r="E685" s="12">
        <v>44</v>
      </c>
      <c r="F685" s="12">
        <v>10000</v>
      </c>
      <c r="G685" s="12">
        <v>550</v>
      </c>
      <c r="H685" s="12">
        <v>15000</v>
      </c>
      <c r="I685" s="12">
        <v>20</v>
      </c>
      <c r="J685" s="12" t="s">
        <v>2961</v>
      </c>
    </row>
    <row r="686" spans="1:10" ht="26.4" customHeight="1">
      <c r="A686" s="12" t="s">
        <v>2962</v>
      </c>
      <c r="B686" s="14" t="s">
        <v>925</v>
      </c>
      <c r="C686" s="12" t="s">
        <v>59</v>
      </c>
      <c r="D686" s="12" t="s">
        <v>2963</v>
      </c>
      <c r="E686" s="12">
        <v>50</v>
      </c>
      <c r="F686" s="12">
        <v>10000</v>
      </c>
      <c r="G686" s="12">
        <v>550</v>
      </c>
      <c r="H686" s="12">
        <v>5000</v>
      </c>
      <c r="I686" s="12">
        <v>50</v>
      </c>
      <c r="J686" s="12" t="s">
        <v>2964</v>
      </c>
    </row>
    <row r="688" spans="1:10" ht="26.4" customHeight="1">
      <c r="A688" s="13" t="s">
        <v>0</v>
      </c>
      <c r="B688" s="13" t="s">
        <v>2647</v>
      </c>
      <c r="C688" s="13" t="s">
        <v>2</v>
      </c>
      <c r="D688" s="13" t="s">
        <v>1453</v>
      </c>
      <c r="E688" s="13" t="s">
        <v>3</v>
      </c>
      <c r="F688" s="13" t="s">
        <v>919</v>
      </c>
      <c r="G688" s="13" t="s">
        <v>920</v>
      </c>
      <c r="H688" s="13" t="s">
        <v>921</v>
      </c>
      <c r="I688" s="13" t="s">
        <v>922</v>
      </c>
      <c r="J688" s="13" t="s">
        <v>8</v>
      </c>
    </row>
    <row r="689" spans="1:10" ht="26.4" customHeight="1">
      <c r="A689" s="12" t="s">
        <v>2965</v>
      </c>
      <c r="B689" s="14" t="s">
        <v>925</v>
      </c>
      <c r="C689" s="12" t="s">
        <v>59</v>
      </c>
      <c r="D689" s="12" t="s">
        <v>210</v>
      </c>
      <c r="E689" s="12">
        <v>16</v>
      </c>
      <c r="F689" s="12">
        <v>2000</v>
      </c>
      <c r="G689" s="12">
        <v>120</v>
      </c>
      <c r="H689" s="12">
        <v>5000</v>
      </c>
      <c r="I689" s="12" t="s">
        <v>210</v>
      </c>
      <c r="J689" s="12" t="s">
        <v>2966</v>
      </c>
    </row>
    <row r="690" spans="1:10" ht="26.4" customHeight="1">
      <c r="A690" s="12" t="s">
        <v>2967</v>
      </c>
      <c r="B690" s="14" t="s">
        <v>925</v>
      </c>
      <c r="C690" s="12" t="s">
        <v>59</v>
      </c>
      <c r="D690" s="12" t="s">
        <v>210</v>
      </c>
      <c r="E690" s="12">
        <v>19</v>
      </c>
      <c r="F690" s="12">
        <v>5000</v>
      </c>
      <c r="G690" s="12">
        <v>350</v>
      </c>
      <c r="H690" s="12">
        <v>0</v>
      </c>
      <c r="I690" s="12" t="s">
        <v>210</v>
      </c>
      <c r="J690" s="12" t="s">
        <v>2968</v>
      </c>
    </row>
    <row r="691" spans="1:10" ht="26.4" customHeight="1">
      <c r="A691" s="12" t="s">
        <v>2969</v>
      </c>
      <c r="B691" s="14" t="s">
        <v>925</v>
      </c>
      <c r="C691" s="12" t="s">
        <v>59</v>
      </c>
      <c r="D691" s="12" t="s">
        <v>210</v>
      </c>
      <c r="E691" s="12">
        <v>15</v>
      </c>
      <c r="F691" s="12">
        <v>5000</v>
      </c>
      <c r="G691" s="12">
        <v>270</v>
      </c>
      <c r="H691" s="12">
        <v>0</v>
      </c>
      <c r="I691" s="12" t="s">
        <v>210</v>
      </c>
      <c r="J691" s="12" t="s">
        <v>2970</v>
      </c>
    </row>
    <row r="692" spans="1:10" ht="26.4" customHeight="1">
      <c r="A692" s="12" t="s">
        <v>2971</v>
      </c>
      <c r="B692" s="14" t="s">
        <v>925</v>
      </c>
      <c r="C692" s="12" t="s">
        <v>59</v>
      </c>
      <c r="D692" s="12" t="s">
        <v>210</v>
      </c>
      <c r="E692" s="12">
        <v>16.5</v>
      </c>
      <c r="F692" s="12">
        <v>6000</v>
      </c>
      <c r="G692" s="12">
        <v>310</v>
      </c>
      <c r="H692" s="12">
        <v>0</v>
      </c>
      <c r="I692" s="12" t="s">
        <v>2794</v>
      </c>
      <c r="J692" s="12" t="s">
        <v>210</v>
      </c>
    </row>
    <row r="693" spans="1:10" ht="26.4" customHeight="1">
      <c r="A693" s="12" t="s">
        <v>2972</v>
      </c>
      <c r="B693" s="14" t="s">
        <v>925</v>
      </c>
      <c r="C693" s="12" t="s">
        <v>59</v>
      </c>
      <c r="D693" s="12" t="s">
        <v>210</v>
      </c>
      <c r="E693" s="12">
        <v>20</v>
      </c>
      <c r="F693" s="12">
        <v>5000</v>
      </c>
      <c r="G693" s="12">
        <v>400</v>
      </c>
      <c r="H693" s="12">
        <v>3000</v>
      </c>
      <c r="I693" s="12" t="s">
        <v>210</v>
      </c>
      <c r="J693" s="12" t="s">
        <v>2973</v>
      </c>
    </row>
    <row r="694" spans="1:10" ht="26.4" customHeight="1">
      <c r="A694" s="12" t="s">
        <v>2974</v>
      </c>
      <c r="B694" s="14" t="s">
        <v>925</v>
      </c>
      <c r="C694" s="12" t="s">
        <v>59</v>
      </c>
      <c r="D694" s="12" t="s">
        <v>66</v>
      </c>
      <c r="E694" s="12">
        <v>13</v>
      </c>
      <c r="F694" s="12">
        <v>5000</v>
      </c>
      <c r="G694" s="12">
        <v>400</v>
      </c>
      <c r="H694" s="12">
        <v>0</v>
      </c>
      <c r="I694" s="12" t="s">
        <v>210</v>
      </c>
      <c r="J694" s="12" t="s">
        <v>210</v>
      </c>
    </row>
    <row r="695" spans="1:10" ht="26.4" customHeight="1">
      <c r="A695" s="12" t="s">
        <v>2975</v>
      </c>
      <c r="B695" s="14" t="s">
        <v>925</v>
      </c>
      <c r="C695" s="12" t="s">
        <v>59</v>
      </c>
      <c r="D695" s="12" t="s">
        <v>210</v>
      </c>
      <c r="E695" s="12">
        <v>60</v>
      </c>
      <c r="F695" s="12">
        <v>8000</v>
      </c>
      <c r="G695" s="12">
        <v>800</v>
      </c>
      <c r="H695" s="12">
        <v>0</v>
      </c>
      <c r="I695" s="12">
        <v>60</v>
      </c>
      <c r="J695" s="12" t="s">
        <v>2976</v>
      </c>
    </row>
    <row r="696" spans="1:10" ht="26.4" customHeight="1">
      <c r="A696" s="12" t="s">
        <v>2977</v>
      </c>
      <c r="B696" s="14" t="s">
        <v>925</v>
      </c>
      <c r="C696" s="12" t="s">
        <v>59</v>
      </c>
      <c r="D696" s="12" t="s">
        <v>210</v>
      </c>
      <c r="E696" s="12">
        <v>50</v>
      </c>
      <c r="F696" s="12">
        <v>6000</v>
      </c>
      <c r="G696" s="12">
        <v>600</v>
      </c>
      <c r="H696" s="12">
        <v>0</v>
      </c>
      <c r="I696" s="12" t="s">
        <v>210</v>
      </c>
      <c r="J696" s="12" t="s">
        <v>2978</v>
      </c>
    </row>
    <row r="697" spans="1:10" ht="26.4" customHeight="1">
      <c r="A697" s="12" t="s">
        <v>2979</v>
      </c>
      <c r="B697" s="14" t="s">
        <v>925</v>
      </c>
      <c r="C697" s="12" t="s">
        <v>59</v>
      </c>
      <c r="D697" s="12" t="s">
        <v>2980</v>
      </c>
      <c r="E697" s="12">
        <v>14</v>
      </c>
      <c r="F697" s="12">
        <v>5000</v>
      </c>
      <c r="G697" s="12">
        <v>300</v>
      </c>
      <c r="H697" s="12">
        <v>0</v>
      </c>
      <c r="I697" s="12" t="s">
        <v>210</v>
      </c>
      <c r="J697" s="12" t="s">
        <v>210</v>
      </c>
    </row>
    <row r="698" spans="1:10" ht="26.4" customHeight="1">
      <c r="A698" s="12" t="s">
        <v>2981</v>
      </c>
      <c r="B698" s="14" t="s">
        <v>925</v>
      </c>
      <c r="C698" s="12" t="s">
        <v>59</v>
      </c>
      <c r="D698" s="12" t="s">
        <v>2982</v>
      </c>
      <c r="E698" s="12">
        <v>57</v>
      </c>
      <c r="F698" s="12">
        <v>7000</v>
      </c>
      <c r="G698" s="12">
        <v>520</v>
      </c>
      <c r="H698" s="12">
        <v>5000</v>
      </c>
      <c r="I698" s="12" t="s">
        <v>210</v>
      </c>
      <c r="J698" s="12" t="s">
        <v>1822</v>
      </c>
    </row>
    <row r="699" spans="1:10" ht="26.4" customHeight="1">
      <c r="A699" s="12" t="s">
        <v>2983</v>
      </c>
      <c r="B699" s="14" t="s">
        <v>925</v>
      </c>
      <c r="C699" s="12" t="s">
        <v>59</v>
      </c>
      <c r="D699" s="12" t="s">
        <v>2984</v>
      </c>
      <c r="E699" s="12">
        <v>30</v>
      </c>
      <c r="F699" s="12">
        <v>3000</v>
      </c>
      <c r="G699" s="12">
        <v>280</v>
      </c>
      <c r="H699" s="12">
        <v>6000</v>
      </c>
      <c r="I699" s="12" t="s">
        <v>210</v>
      </c>
      <c r="J699" s="12" t="s">
        <v>2985</v>
      </c>
    </row>
    <row r="700" spans="1:10" ht="26.4" customHeight="1">
      <c r="A700" s="12" t="s">
        <v>2986</v>
      </c>
      <c r="B700" s="14" t="s">
        <v>925</v>
      </c>
      <c r="C700" s="12" t="s">
        <v>59</v>
      </c>
      <c r="D700" s="12" t="s">
        <v>2987</v>
      </c>
      <c r="E700" s="12">
        <v>38</v>
      </c>
      <c r="F700" s="12">
        <v>7000</v>
      </c>
      <c r="G700" s="12">
        <v>570</v>
      </c>
      <c r="H700" s="12">
        <v>3500</v>
      </c>
      <c r="I700" s="12">
        <v>30</v>
      </c>
      <c r="J700" s="12" t="s">
        <v>210</v>
      </c>
    </row>
    <row r="701" spans="1:10" ht="26.4" customHeight="1">
      <c r="A701" s="12" t="s">
        <v>2988</v>
      </c>
      <c r="B701" s="14" t="s">
        <v>925</v>
      </c>
      <c r="C701" s="12" t="s">
        <v>59</v>
      </c>
      <c r="D701" s="12" t="s">
        <v>2989</v>
      </c>
      <c r="E701" s="12">
        <v>45</v>
      </c>
      <c r="F701" s="12">
        <v>8000</v>
      </c>
      <c r="G701" s="12">
        <v>700</v>
      </c>
      <c r="H701" s="12">
        <v>17000</v>
      </c>
      <c r="I701" s="12">
        <v>20</v>
      </c>
      <c r="J701" s="12" t="s">
        <v>210</v>
      </c>
    </row>
    <row r="702" spans="1:10" ht="26.4" customHeight="1">
      <c r="A702" s="12" t="s">
        <v>2990</v>
      </c>
      <c r="B702" s="14" t="s">
        <v>925</v>
      </c>
      <c r="C702" s="12" t="s">
        <v>59</v>
      </c>
      <c r="D702" s="12" t="s">
        <v>66</v>
      </c>
      <c r="E702" s="12">
        <v>26</v>
      </c>
      <c r="F702" s="12">
        <v>10000</v>
      </c>
      <c r="G702" s="12">
        <v>650</v>
      </c>
      <c r="H702" s="12">
        <v>0</v>
      </c>
      <c r="I702" s="12">
        <v>60</v>
      </c>
      <c r="J702" s="12" t="s">
        <v>2991</v>
      </c>
    </row>
    <row r="703" spans="1:10" ht="26.4" customHeight="1">
      <c r="A703" s="12" t="s">
        <v>2992</v>
      </c>
      <c r="B703" s="14" t="s">
        <v>925</v>
      </c>
      <c r="C703" s="12" t="s">
        <v>110</v>
      </c>
      <c r="D703" s="12" t="s">
        <v>2993</v>
      </c>
      <c r="E703" s="12">
        <v>230</v>
      </c>
      <c r="F703" s="12">
        <v>25000</v>
      </c>
      <c r="G703" s="12">
        <v>2400</v>
      </c>
      <c r="H703" s="12">
        <v>15000</v>
      </c>
      <c r="I703" s="12" t="s">
        <v>210</v>
      </c>
      <c r="J703" s="12" t="s">
        <v>2994</v>
      </c>
    </row>
    <row r="704" spans="1:10" ht="26.4" customHeight="1">
      <c r="A704" s="12" t="s">
        <v>2995</v>
      </c>
      <c r="B704" s="14" t="s">
        <v>925</v>
      </c>
      <c r="C704" s="12" t="s">
        <v>59</v>
      </c>
      <c r="D704" s="12" t="s">
        <v>2996</v>
      </c>
      <c r="E704" s="12">
        <v>25</v>
      </c>
      <c r="F704" s="12">
        <v>2000</v>
      </c>
      <c r="G704" s="12">
        <v>270</v>
      </c>
      <c r="H704" s="12">
        <v>10000</v>
      </c>
      <c r="I704" s="12">
        <v>5</v>
      </c>
      <c r="J704" s="12" t="s">
        <v>210</v>
      </c>
    </row>
    <row r="705" spans="1:11" ht="26.4" customHeight="1">
      <c r="A705" s="12" t="s">
        <v>2997</v>
      </c>
      <c r="B705" s="14" t="s">
        <v>925</v>
      </c>
      <c r="C705" s="12" t="s">
        <v>59</v>
      </c>
      <c r="D705" s="12" t="s">
        <v>2998</v>
      </c>
      <c r="E705" s="12">
        <v>14</v>
      </c>
      <c r="F705" s="12">
        <v>5000</v>
      </c>
      <c r="G705" s="12">
        <v>400</v>
      </c>
      <c r="H705" s="12">
        <v>5000</v>
      </c>
      <c r="I705" s="12">
        <v>55</v>
      </c>
      <c r="J705" s="12" t="s">
        <v>210</v>
      </c>
    </row>
    <row r="706" spans="1:11" ht="26.4" customHeight="1">
      <c r="A706" s="12" t="s">
        <v>2999</v>
      </c>
      <c r="B706" s="14" t="s">
        <v>925</v>
      </c>
      <c r="C706" s="12" t="s">
        <v>59</v>
      </c>
      <c r="D706" s="12" t="s">
        <v>3000</v>
      </c>
      <c r="E706" s="12">
        <v>10.5</v>
      </c>
      <c r="F706" s="12">
        <v>8000</v>
      </c>
      <c r="G706" s="12">
        <v>530</v>
      </c>
      <c r="H706" s="12">
        <v>6000</v>
      </c>
      <c r="I706" s="12" t="s">
        <v>210</v>
      </c>
      <c r="J706" s="12" t="s">
        <v>3001</v>
      </c>
    </row>
    <row r="707" spans="1:11" ht="26.4" customHeight="1">
      <c r="A707" s="12" t="s">
        <v>3002</v>
      </c>
      <c r="B707" s="14" t="s">
        <v>925</v>
      </c>
      <c r="C707" s="12" t="s">
        <v>59</v>
      </c>
      <c r="D707" s="12" t="s">
        <v>3003</v>
      </c>
      <c r="E707" s="12">
        <v>14</v>
      </c>
      <c r="F707" s="12">
        <v>5000</v>
      </c>
      <c r="G707" s="12">
        <v>364</v>
      </c>
      <c r="H707" s="12">
        <v>10000</v>
      </c>
      <c r="I707" s="12">
        <v>6</v>
      </c>
      <c r="J707" s="12" t="s">
        <v>210</v>
      </c>
    </row>
    <row r="708" spans="1:11" ht="26.4" customHeight="1">
      <c r="A708" s="12" t="s">
        <v>3004</v>
      </c>
      <c r="B708" s="14" t="s">
        <v>925</v>
      </c>
      <c r="C708" s="12" t="s">
        <v>59</v>
      </c>
      <c r="D708" s="12" t="s">
        <v>3005</v>
      </c>
      <c r="E708" s="12">
        <v>13</v>
      </c>
      <c r="F708" s="12">
        <v>4000</v>
      </c>
      <c r="G708" s="12">
        <v>310</v>
      </c>
      <c r="H708" s="12">
        <v>6500</v>
      </c>
      <c r="I708" s="12" t="s">
        <v>210</v>
      </c>
      <c r="J708" s="12" t="s">
        <v>3006</v>
      </c>
    </row>
    <row r="709" spans="1:11" ht="26.4" customHeight="1">
      <c r="A709" s="12" t="s">
        <v>3007</v>
      </c>
      <c r="B709" s="14" t="s">
        <v>925</v>
      </c>
      <c r="C709" s="12" t="s">
        <v>59</v>
      </c>
      <c r="D709" s="12" t="s">
        <v>3008</v>
      </c>
      <c r="E709" s="12">
        <v>15</v>
      </c>
      <c r="F709" s="12">
        <v>3000</v>
      </c>
      <c r="G709" s="12">
        <v>170</v>
      </c>
      <c r="H709" s="12">
        <v>2000</v>
      </c>
      <c r="I709" s="12">
        <v>50</v>
      </c>
      <c r="J709" s="12" t="s">
        <v>210</v>
      </c>
    </row>
    <row r="710" spans="1:11" ht="26.4" customHeight="1">
      <c r="A710" s="12" t="s">
        <v>3009</v>
      </c>
      <c r="B710" s="14" t="s">
        <v>925</v>
      </c>
      <c r="C710" s="12" t="s">
        <v>59</v>
      </c>
      <c r="D710" s="12" t="s">
        <v>3010</v>
      </c>
      <c r="E710" s="12">
        <v>65</v>
      </c>
      <c r="F710" s="12">
        <v>7000</v>
      </c>
      <c r="G710" s="12">
        <v>300</v>
      </c>
      <c r="H710" s="12">
        <v>4000</v>
      </c>
      <c r="I710" s="12">
        <v>0</v>
      </c>
      <c r="J710" s="12" t="s">
        <v>3011</v>
      </c>
    </row>
    <row r="711" spans="1:11" ht="26.4" customHeight="1">
      <c r="A711" s="12" t="s">
        <v>3012</v>
      </c>
      <c r="B711" s="14" t="s">
        <v>925</v>
      </c>
      <c r="C711" s="12" t="s">
        <v>59</v>
      </c>
      <c r="D711" s="12" t="s">
        <v>3013</v>
      </c>
      <c r="E711" s="12">
        <v>30</v>
      </c>
      <c r="F711" s="12">
        <v>6000</v>
      </c>
      <c r="G711" s="12">
        <v>676</v>
      </c>
      <c r="H711" s="12">
        <v>20000</v>
      </c>
      <c r="I711" s="12">
        <v>60</v>
      </c>
      <c r="J711" s="12" t="s">
        <v>210</v>
      </c>
    </row>
    <row r="712" spans="1:11" ht="26.4" customHeight="1">
      <c r="A712" s="12" t="s">
        <v>3014</v>
      </c>
      <c r="B712" s="14" t="s">
        <v>925</v>
      </c>
      <c r="C712" s="12" t="s">
        <v>59</v>
      </c>
      <c r="D712" s="12" t="s">
        <v>3015</v>
      </c>
      <c r="E712" s="12">
        <v>38</v>
      </c>
      <c r="F712" s="12">
        <v>11000</v>
      </c>
      <c r="G712" s="12">
        <v>850</v>
      </c>
      <c r="H712" s="12">
        <v>12000</v>
      </c>
      <c r="I712" s="12">
        <v>88</v>
      </c>
      <c r="J712" s="12" t="s">
        <v>210</v>
      </c>
    </row>
    <row r="713" spans="1:11" ht="26.4" customHeight="1">
      <c r="A713" s="12" t="s">
        <v>3016</v>
      </c>
      <c r="B713" s="14" t="s">
        <v>925</v>
      </c>
      <c r="C713" s="12" t="s">
        <v>59</v>
      </c>
      <c r="D713" s="12" t="s">
        <v>3017</v>
      </c>
      <c r="E713" s="12">
        <v>6.5</v>
      </c>
      <c r="F713" s="12">
        <v>3000</v>
      </c>
      <c r="G713" s="12">
        <v>170</v>
      </c>
      <c r="H713" s="12">
        <v>2500</v>
      </c>
      <c r="I713" s="12" t="s">
        <v>210</v>
      </c>
      <c r="J713" s="12" t="s">
        <v>210</v>
      </c>
    </row>
    <row r="714" spans="1:11" ht="26.4" customHeight="1">
      <c r="A714" s="12" t="s">
        <v>3018</v>
      </c>
      <c r="B714" s="14" t="s">
        <v>925</v>
      </c>
      <c r="C714" s="12" t="s">
        <v>59</v>
      </c>
      <c r="D714" s="12" t="s">
        <v>66</v>
      </c>
      <c r="E714" s="12">
        <v>11</v>
      </c>
      <c r="F714" s="12">
        <v>10000</v>
      </c>
      <c r="G714" s="12">
        <v>450</v>
      </c>
      <c r="H714" s="12">
        <v>0</v>
      </c>
      <c r="I714" s="12" t="s">
        <v>210</v>
      </c>
      <c r="J714" s="12" t="s">
        <v>210</v>
      </c>
    </row>
    <row r="715" spans="1:11" ht="26.4" customHeight="1">
      <c r="A715" s="12" t="s">
        <v>3019</v>
      </c>
      <c r="B715" s="14" t="s">
        <v>925</v>
      </c>
      <c r="C715" s="12" t="s">
        <v>59</v>
      </c>
      <c r="D715" s="12" t="s">
        <v>3020</v>
      </c>
      <c r="E715" s="12">
        <v>14.38</v>
      </c>
      <c r="F715" s="12">
        <v>5000</v>
      </c>
      <c r="G715" s="12">
        <v>350</v>
      </c>
      <c r="H715" s="12">
        <v>0</v>
      </c>
      <c r="I715" s="12" t="s">
        <v>210</v>
      </c>
      <c r="J715" s="12" t="s">
        <v>210</v>
      </c>
    </row>
    <row r="717" spans="1:11" ht="26.4" customHeight="1">
      <c r="A717" s="13" t="s">
        <v>0</v>
      </c>
      <c r="B717" s="13" t="str">
        <f>HYPERLINK("https://map.naver.com/v5/search/" &amp; A2, "지도")</f>
        <v>지도</v>
      </c>
      <c r="C717" s="13" t="s">
        <v>2</v>
      </c>
      <c r="D717" s="13" t="s">
        <v>1453</v>
      </c>
      <c r="E717" s="13" t="s">
        <v>3</v>
      </c>
      <c r="F717" s="13" t="s">
        <v>919</v>
      </c>
      <c r="G717" s="13" t="s">
        <v>920</v>
      </c>
      <c r="H717" s="13" t="s">
        <v>921</v>
      </c>
      <c r="I717" s="13" t="s">
        <v>922</v>
      </c>
      <c r="J717" s="13" t="s">
        <v>8</v>
      </c>
      <c r="K717" s="13"/>
    </row>
    <row r="718" spans="1:11" ht="26.4" customHeight="1">
      <c r="A718" s="12" t="s">
        <v>3021</v>
      </c>
      <c r="B718" s="14" t="str">
        <f>HYPERLINK("https://map.naver.com/v5/search/" &amp; A718, "지도")</f>
        <v>지도</v>
      </c>
      <c r="C718" s="12" t="s">
        <v>59</v>
      </c>
      <c r="D718" s="12" t="s">
        <v>3022</v>
      </c>
      <c r="E718" s="12">
        <v>14</v>
      </c>
      <c r="F718" s="12">
        <v>3000</v>
      </c>
      <c r="G718" s="12">
        <v>300</v>
      </c>
      <c r="H718" s="12">
        <v>0</v>
      </c>
      <c r="I718" s="12">
        <v>20</v>
      </c>
      <c r="J718" s="12"/>
      <c r="K718" s="12"/>
    </row>
    <row r="719" spans="1:11" ht="26.4" customHeight="1">
      <c r="A719" s="12" t="s">
        <v>3023</v>
      </c>
      <c r="B719" s="14" t="str">
        <f>HYPERLINK("https://map.naver.com/v5/search/" &amp; A719, "지도")</f>
        <v>지도</v>
      </c>
      <c r="C719" s="12" t="s">
        <v>59</v>
      </c>
      <c r="D719" s="12" t="s">
        <v>3024</v>
      </c>
      <c r="E719" s="12">
        <v>11</v>
      </c>
      <c r="F719" s="12">
        <v>5000</v>
      </c>
      <c r="G719" s="12">
        <v>230</v>
      </c>
      <c r="H719" s="12">
        <v>600</v>
      </c>
      <c r="I719" s="12">
        <v>10</v>
      </c>
      <c r="J719" s="12"/>
      <c r="K719" s="12"/>
    </row>
    <row r="720" spans="1:11" ht="26.4" customHeight="1">
      <c r="A720" s="12" t="s">
        <v>3025</v>
      </c>
      <c r="B720" s="14" t="str">
        <f t="shared" ref="B720:B750" si="0">HYPERLINK("https://map.naver.com/v5/search/" &amp; A720, "지도")</f>
        <v>지도</v>
      </c>
      <c r="C720" s="12" t="s">
        <v>59</v>
      </c>
      <c r="D720" s="12" t="s">
        <v>3026</v>
      </c>
      <c r="E720" s="12">
        <v>11</v>
      </c>
      <c r="F720" s="12">
        <v>5000</v>
      </c>
      <c r="G720" s="12">
        <v>100</v>
      </c>
      <c r="H720" s="12">
        <v>0</v>
      </c>
      <c r="I720" s="12">
        <v>10</v>
      </c>
      <c r="J720" s="12"/>
      <c r="K720" s="12"/>
    </row>
    <row r="721" spans="1:11" ht="26.4" customHeight="1">
      <c r="A721" s="12" t="s">
        <v>3027</v>
      </c>
      <c r="B721" s="14" t="str">
        <f t="shared" si="0"/>
        <v>지도</v>
      </c>
      <c r="C721" s="12" t="s">
        <v>59</v>
      </c>
      <c r="D721" s="12" t="s">
        <v>3028</v>
      </c>
      <c r="E721" s="12">
        <v>30</v>
      </c>
      <c r="F721" s="12">
        <v>6000</v>
      </c>
      <c r="G721" s="12">
        <v>310</v>
      </c>
      <c r="H721" s="12">
        <v>0</v>
      </c>
      <c r="I721" s="12"/>
      <c r="J721" s="12"/>
      <c r="K721" s="12"/>
    </row>
    <row r="722" spans="1:11" ht="26.4" customHeight="1">
      <c r="A722" s="12" t="s">
        <v>3029</v>
      </c>
      <c r="B722" s="14" t="str">
        <f t="shared" si="0"/>
        <v>지도</v>
      </c>
      <c r="C722" s="12" t="s">
        <v>59</v>
      </c>
      <c r="D722" s="12" t="s">
        <v>3030</v>
      </c>
      <c r="E722" s="12">
        <v>37</v>
      </c>
      <c r="F722" s="12">
        <v>5000</v>
      </c>
      <c r="G722" s="12">
        <v>370</v>
      </c>
      <c r="H722" s="12">
        <v>6000</v>
      </c>
      <c r="I722" s="12"/>
      <c r="J722" s="12"/>
      <c r="K722" s="12"/>
    </row>
    <row r="723" spans="1:11" ht="26.4" customHeight="1">
      <c r="A723" s="12" t="s">
        <v>3031</v>
      </c>
      <c r="B723" s="14" t="str">
        <f t="shared" si="0"/>
        <v>지도</v>
      </c>
      <c r="C723" s="12" t="s">
        <v>59</v>
      </c>
      <c r="D723" s="12" t="s">
        <v>66</v>
      </c>
      <c r="E723" s="12">
        <v>31</v>
      </c>
      <c r="F723" s="12">
        <v>5000</v>
      </c>
      <c r="G723" s="12">
        <v>400</v>
      </c>
      <c r="H723" s="12">
        <v>0</v>
      </c>
      <c r="I723" s="12"/>
      <c r="J723" s="12"/>
      <c r="K723" s="12"/>
    </row>
    <row r="724" spans="1:11" ht="26.4" customHeight="1">
      <c r="A724" s="12" t="s">
        <v>3032</v>
      </c>
      <c r="B724" s="14" t="str">
        <f t="shared" si="0"/>
        <v>지도</v>
      </c>
      <c r="C724" s="12" t="s">
        <v>59</v>
      </c>
      <c r="D724" s="12" t="s">
        <v>66</v>
      </c>
      <c r="E724" s="12">
        <v>43</v>
      </c>
      <c r="F724" s="12">
        <v>7000</v>
      </c>
      <c r="G724" s="12">
        <v>490</v>
      </c>
      <c r="H724" s="12">
        <v>12000</v>
      </c>
      <c r="I724" s="12"/>
      <c r="J724" s="12"/>
      <c r="K724" s="12"/>
    </row>
    <row r="725" spans="1:11" ht="26.4" customHeight="1">
      <c r="A725" s="12" t="s">
        <v>3033</v>
      </c>
      <c r="B725" s="14" t="str">
        <f t="shared" si="0"/>
        <v>지도</v>
      </c>
      <c r="C725" s="12" t="s">
        <v>59</v>
      </c>
      <c r="D725" s="12" t="s">
        <v>3034</v>
      </c>
      <c r="E725" s="12">
        <v>14</v>
      </c>
      <c r="F725" s="12">
        <v>10000</v>
      </c>
      <c r="G725" s="12">
        <v>600</v>
      </c>
      <c r="H725" s="12">
        <v>7000</v>
      </c>
      <c r="I725" s="12">
        <v>20</v>
      </c>
      <c r="J725" s="12"/>
      <c r="K725" s="12"/>
    </row>
    <row r="726" spans="1:11" ht="26.4" customHeight="1">
      <c r="A726" s="12" t="s">
        <v>3035</v>
      </c>
      <c r="B726" s="14" t="str">
        <f t="shared" si="0"/>
        <v>지도</v>
      </c>
      <c r="C726" s="12" t="s">
        <v>60</v>
      </c>
      <c r="D726" s="12" t="s">
        <v>66</v>
      </c>
      <c r="E726" s="12">
        <v>34</v>
      </c>
      <c r="F726" s="12">
        <v>5000</v>
      </c>
      <c r="G726" s="12">
        <v>400</v>
      </c>
      <c r="H726" s="12">
        <v>0</v>
      </c>
      <c r="I726" s="12">
        <v>105</v>
      </c>
      <c r="J726" s="12" t="s">
        <v>3036</v>
      </c>
      <c r="K726" s="12"/>
    </row>
    <row r="727" spans="1:11" ht="26.4" customHeight="1">
      <c r="A727" s="12" t="s">
        <v>3037</v>
      </c>
      <c r="B727" s="14" t="str">
        <f t="shared" si="0"/>
        <v>지도</v>
      </c>
      <c r="C727" s="12" t="s">
        <v>59</v>
      </c>
      <c r="D727" s="12" t="s">
        <v>66</v>
      </c>
      <c r="E727" s="12">
        <v>75</v>
      </c>
      <c r="F727" s="12">
        <v>30000</v>
      </c>
      <c r="G727" s="12">
        <v>2100</v>
      </c>
      <c r="H727" s="12">
        <v>0</v>
      </c>
      <c r="I727" s="12">
        <v>180</v>
      </c>
      <c r="J727" s="12" t="s">
        <v>3038</v>
      </c>
      <c r="K727" s="12"/>
    </row>
    <row r="728" spans="1:11" ht="26.4" customHeight="1">
      <c r="A728" s="12" t="s">
        <v>3039</v>
      </c>
      <c r="B728" s="14" t="str">
        <f t="shared" si="0"/>
        <v>지도</v>
      </c>
      <c r="C728" s="12" t="s">
        <v>60</v>
      </c>
      <c r="D728" s="12" t="s">
        <v>3040</v>
      </c>
      <c r="E728" s="12">
        <v>42</v>
      </c>
      <c r="F728" s="12">
        <v>6000</v>
      </c>
      <c r="G728" s="12">
        <v>520</v>
      </c>
      <c r="H728" s="12">
        <v>9000</v>
      </c>
      <c r="I728" s="12">
        <v>52</v>
      </c>
      <c r="J728" s="12" t="s">
        <v>2010</v>
      </c>
      <c r="K728" s="12"/>
    </row>
    <row r="729" spans="1:11" ht="26.4" customHeight="1">
      <c r="A729" s="12" t="s">
        <v>3041</v>
      </c>
      <c r="B729" s="14" t="str">
        <f t="shared" si="0"/>
        <v>지도</v>
      </c>
      <c r="C729" s="12" t="s">
        <v>59</v>
      </c>
      <c r="D729" s="12" t="s">
        <v>3042</v>
      </c>
      <c r="E729" s="12">
        <v>30</v>
      </c>
      <c r="F729" s="12">
        <v>8000</v>
      </c>
      <c r="G729" s="12">
        <v>750</v>
      </c>
      <c r="H729" s="12">
        <v>6000</v>
      </c>
      <c r="I729" s="12"/>
      <c r="J729" s="12" t="s">
        <v>3043</v>
      </c>
      <c r="K729" s="12"/>
    </row>
    <row r="730" spans="1:11" ht="26.4" customHeight="1">
      <c r="A730" s="12" t="s">
        <v>3044</v>
      </c>
      <c r="B730" s="14" t="str">
        <f t="shared" si="0"/>
        <v>지도</v>
      </c>
      <c r="C730" s="12" t="s">
        <v>60</v>
      </c>
      <c r="D730" s="12" t="s">
        <v>66</v>
      </c>
      <c r="E730" s="12">
        <v>35</v>
      </c>
      <c r="F730" s="12">
        <v>5000</v>
      </c>
      <c r="G730" s="12">
        <v>400</v>
      </c>
      <c r="H730" s="12">
        <v>0</v>
      </c>
      <c r="I730" s="12">
        <v>105</v>
      </c>
      <c r="J730" s="12"/>
      <c r="K730" s="12"/>
    </row>
    <row r="731" spans="1:11" ht="26.4" customHeight="1">
      <c r="A731" s="12" t="s">
        <v>3045</v>
      </c>
      <c r="B731" s="14" t="str">
        <f t="shared" si="0"/>
        <v>지도</v>
      </c>
      <c r="C731" s="12" t="s">
        <v>59</v>
      </c>
      <c r="D731" s="12" t="s">
        <v>3046</v>
      </c>
      <c r="E731" s="12">
        <v>12</v>
      </c>
      <c r="F731" s="12">
        <v>10000</v>
      </c>
      <c r="G731" s="12">
        <v>390</v>
      </c>
      <c r="H731" s="12">
        <v>15000</v>
      </c>
      <c r="I731" s="12">
        <v>30</v>
      </c>
      <c r="J731" s="12"/>
      <c r="K731" s="12"/>
    </row>
    <row r="732" spans="1:11" ht="26.4" customHeight="1">
      <c r="A732" s="12" t="s">
        <v>3047</v>
      </c>
      <c r="B732" s="14" t="str">
        <f t="shared" si="0"/>
        <v>지도</v>
      </c>
      <c r="C732" s="12" t="s">
        <v>59</v>
      </c>
      <c r="D732" s="12" t="s">
        <v>3000</v>
      </c>
      <c r="E732" s="12">
        <v>10</v>
      </c>
      <c r="F732" s="12">
        <v>8000</v>
      </c>
      <c r="G732" s="12">
        <v>530</v>
      </c>
      <c r="H732" s="12">
        <v>5000</v>
      </c>
      <c r="I732" s="12">
        <v>15</v>
      </c>
      <c r="J732" s="12"/>
      <c r="K732" s="12"/>
    </row>
    <row r="733" spans="1:11" ht="26.4" customHeight="1">
      <c r="A733" s="12" t="s">
        <v>3048</v>
      </c>
      <c r="B733" s="14" t="str">
        <f t="shared" si="0"/>
        <v>지도</v>
      </c>
      <c r="C733" s="12" t="s">
        <v>59</v>
      </c>
      <c r="D733" s="12" t="s">
        <v>3049</v>
      </c>
      <c r="E733" s="12">
        <v>11</v>
      </c>
      <c r="F733" s="12">
        <v>5000</v>
      </c>
      <c r="G733" s="12">
        <v>400</v>
      </c>
      <c r="H733" s="12">
        <v>0</v>
      </c>
      <c r="I733" s="12">
        <v>20</v>
      </c>
      <c r="J733" s="12"/>
      <c r="K733" s="12"/>
    </row>
    <row r="734" spans="1:11" ht="26.4" customHeight="1">
      <c r="A734" s="12" t="s">
        <v>3050</v>
      </c>
      <c r="B734" s="14" t="str">
        <f t="shared" si="0"/>
        <v>지도</v>
      </c>
      <c r="C734" s="12" t="s">
        <v>60</v>
      </c>
      <c r="D734" s="12" t="s">
        <v>66</v>
      </c>
      <c r="E734" s="12">
        <v>33.799999999999997</v>
      </c>
      <c r="F734" s="12">
        <v>10000</v>
      </c>
      <c r="G734" s="12">
        <v>850</v>
      </c>
      <c r="H734" s="12">
        <v>0</v>
      </c>
      <c r="I734" s="12">
        <v>50</v>
      </c>
      <c r="J734" s="12" t="s">
        <v>3051</v>
      </c>
      <c r="K734" s="12"/>
    </row>
    <row r="735" spans="1:11" ht="26.4" customHeight="1">
      <c r="A735" s="12" t="s">
        <v>3052</v>
      </c>
      <c r="B735" s="14" t="str">
        <f t="shared" si="0"/>
        <v>지도</v>
      </c>
      <c r="C735" s="12" t="s">
        <v>60</v>
      </c>
      <c r="D735" s="12" t="s">
        <v>3053</v>
      </c>
      <c r="E735" s="12">
        <v>40</v>
      </c>
      <c r="F735" s="12">
        <v>20000</v>
      </c>
      <c r="G735" s="12">
        <v>968</v>
      </c>
      <c r="H735" s="12">
        <v>15000</v>
      </c>
      <c r="I735" s="12">
        <v>118.8</v>
      </c>
      <c r="J735" s="12"/>
      <c r="K735" s="12"/>
    </row>
    <row r="736" spans="1:11" ht="26.4" customHeight="1">
      <c r="A736" s="12" t="s">
        <v>1614</v>
      </c>
      <c r="B736" s="14" t="str">
        <f t="shared" si="0"/>
        <v>지도</v>
      </c>
      <c r="C736" s="12" t="s">
        <v>59</v>
      </c>
      <c r="D736" s="12" t="s">
        <v>66</v>
      </c>
      <c r="E736" s="12">
        <v>24</v>
      </c>
      <c r="F736" s="12">
        <v>10000</v>
      </c>
      <c r="G736" s="12">
        <v>650</v>
      </c>
      <c r="H736" s="12">
        <v>0</v>
      </c>
      <c r="I736" s="12">
        <v>60</v>
      </c>
      <c r="J736" s="12" t="s">
        <v>3001</v>
      </c>
      <c r="K736" s="12"/>
    </row>
    <row r="737" spans="1:11" ht="26.4" customHeight="1">
      <c r="A737" s="12" t="s">
        <v>3054</v>
      </c>
      <c r="B737" s="14" t="str">
        <f t="shared" si="0"/>
        <v>지도</v>
      </c>
      <c r="C737" s="12" t="s">
        <v>60</v>
      </c>
      <c r="D737" s="12" t="s">
        <v>3055</v>
      </c>
      <c r="E737" s="12">
        <v>30</v>
      </c>
      <c r="F737" s="12">
        <v>4000</v>
      </c>
      <c r="G737" s="12">
        <v>814</v>
      </c>
      <c r="H737" s="12">
        <v>40000</v>
      </c>
      <c r="I737" s="12">
        <v>20</v>
      </c>
      <c r="J737" s="12" t="s">
        <v>3056</v>
      </c>
      <c r="K737" s="12"/>
    </row>
    <row r="738" spans="1:11" ht="26.4" customHeight="1">
      <c r="A738" s="12" t="s">
        <v>3057</v>
      </c>
      <c r="B738" s="14" t="str">
        <f t="shared" si="0"/>
        <v>지도</v>
      </c>
      <c r="C738" s="12" t="s">
        <v>60</v>
      </c>
      <c r="D738" s="12" t="s">
        <v>3058</v>
      </c>
      <c r="E738" s="12">
        <v>54</v>
      </c>
      <c r="F738" s="12">
        <v>8000</v>
      </c>
      <c r="G738" s="12">
        <v>550</v>
      </c>
      <c r="H738" s="12">
        <v>0</v>
      </c>
      <c r="I738" s="12">
        <v>60</v>
      </c>
      <c r="J738" s="12"/>
      <c r="K738" s="12"/>
    </row>
    <row r="739" spans="1:11" ht="26.4" customHeight="1">
      <c r="A739" s="12" t="s">
        <v>3059</v>
      </c>
      <c r="B739" s="14" t="str">
        <f t="shared" si="0"/>
        <v>지도</v>
      </c>
      <c r="C739" s="12" t="s">
        <v>60</v>
      </c>
      <c r="D739" s="12" t="s">
        <v>66</v>
      </c>
      <c r="E739" s="12">
        <v>50</v>
      </c>
      <c r="F739" s="12">
        <v>10000</v>
      </c>
      <c r="G739" s="12">
        <v>700</v>
      </c>
      <c r="H739" s="12">
        <v>0</v>
      </c>
      <c r="I739" s="12">
        <v>70</v>
      </c>
      <c r="J739" s="12" t="s">
        <v>3060</v>
      </c>
      <c r="K739" s="12"/>
    </row>
    <row r="740" spans="1:11" ht="26.4" customHeight="1">
      <c r="A740" s="12" t="s">
        <v>3061</v>
      </c>
      <c r="B740" s="14" t="str">
        <f t="shared" si="0"/>
        <v>지도</v>
      </c>
      <c r="C740" s="12" t="s">
        <v>60</v>
      </c>
      <c r="D740" s="12" t="s">
        <v>3062</v>
      </c>
      <c r="E740" s="12">
        <v>66</v>
      </c>
      <c r="F740" s="12">
        <v>15000</v>
      </c>
      <c r="G740" s="12">
        <v>1550</v>
      </c>
      <c r="H740" s="12">
        <v>25000</v>
      </c>
      <c r="I740" s="12">
        <v>100</v>
      </c>
      <c r="J740" s="12"/>
      <c r="K740" s="12"/>
    </row>
    <row r="741" spans="1:11" ht="26.4" customHeight="1">
      <c r="A741" s="12" t="s">
        <v>3063</v>
      </c>
      <c r="B741" s="14" t="str">
        <f t="shared" si="0"/>
        <v>지도</v>
      </c>
      <c r="C741" s="12" t="s">
        <v>60</v>
      </c>
      <c r="D741" s="12" t="s">
        <v>66</v>
      </c>
      <c r="E741" s="12">
        <v>51.8</v>
      </c>
      <c r="F741" s="12">
        <v>8000</v>
      </c>
      <c r="G741" s="12">
        <v>650</v>
      </c>
      <c r="H741" s="12">
        <v>0</v>
      </c>
      <c r="I741" s="12">
        <v>50</v>
      </c>
      <c r="J741" s="12"/>
      <c r="K741" s="12"/>
    </row>
    <row r="742" spans="1:11" ht="26.4" customHeight="1">
      <c r="A742" s="12" t="s">
        <v>3064</v>
      </c>
      <c r="B742" s="14" t="str">
        <f t="shared" si="0"/>
        <v>지도</v>
      </c>
      <c r="C742" s="12" t="s">
        <v>60</v>
      </c>
      <c r="D742" s="12" t="s">
        <v>3065</v>
      </c>
      <c r="E742" s="12">
        <v>40</v>
      </c>
      <c r="F742" s="12">
        <v>7000</v>
      </c>
      <c r="G742" s="12">
        <v>630</v>
      </c>
      <c r="H742" s="12">
        <v>15000</v>
      </c>
      <c r="I742" s="12">
        <v>30</v>
      </c>
      <c r="J742" s="12"/>
      <c r="K742" s="12"/>
    </row>
    <row r="743" spans="1:11" ht="26.4" customHeight="1">
      <c r="A743" s="12" t="s">
        <v>3066</v>
      </c>
      <c r="B743" s="14" t="str">
        <f t="shared" si="0"/>
        <v>지도</v>
      </c>
      <c r="C743" s="12" t="s">
        <v>60</v>
      </c>
      <c r="D743" s="12" t="s">
        <v>66</v>
      </c>
      <c r="E743" s="12">
        <v>37</v>
      </c>
      <c r="F743" s="12">
        <v>15000</v>
      </c>
      <c r="G743" s="12">
        <v>850</v>
      </c>
      <c r="H743" s="12">
        <v>0</v>
      </c>
      <c r="I743" s="12">
        <v>50</v>
      </c>
      <c r="J743" s="12"/>
      <c r="K743" s="12"/>
    </row>
    <row r="744" spans="1:11" ht="26.4" customHeight="1">
      <c r="A744" s="12" t="s">
        <v>3067</v>
      </c>
      <c r="B744" s="14" t="str">
        <f t="shared" si="0"/>
        <v>지도</v>
      </c>
      <c r="C744" s="12" t="s">
        <v>60</v>
      </c>
      <c r="D744" s="12" t="s">
        <v>3068</v>
      </c>
      <c r="E744" s="12">
        <v>46</v>
      </c>
      <c r="F744" s="12">
        <v>15000</v>
      </c>
      <c r="G744" s="12">
        <v>1210</v>
      </c>
      <c r="H744" s="12">
        <v>20000</v>
      </c>
      <c r="I744" s="12">
        <v>100</v>
      </c>
      <c r="J744" s="12"/>
      <c r="K744" s="12"/>
    </row>
    <row r="745" spans="1:11" ht="26.4" customHeight="1">
      <c r="A745" s="12" t="s">
        <v>3069</v>
      </c>
      <c r="B745" s="14" t="str">
        <f t="shared" si="0"/>
        <v>지도</v>
      </c>
      <c r="C745" s="12" t="s">
        <v>60</v>
      </c>
      <c r="D745" s="12" t="s">
        <v>3070</v>
      </c>
      <c r="E745" s="12">
        <v>37.6</v>
      </c>
      <c r="F745" s="12">
        <v>4000</v>
      </c>
      <c r="G745" s="12">
        <v>380</v>
      </c>
      <c r="H745" s="12">
        <v>2000</v>
      </c>
      <c r="I745" s="12">
        <v>20</v>
      </c>
      <c r="J745" s="12"/>
      <c r="K745" s="12"/>
    </row>
    <row r="746" spans="1:11" ht="26.4" customHeight="1">
      <c r="A746" s="12" t="s">
        <v>3071</v>
      </c>
      <c r="B746" s="14" t="str">
        <f t="shared" si="0"/>
        <v>지도</v>
      </c>
      <c r="C746" s="12" t="s">
        <v>60</v>
      </c>
      <c r="D746" s="12" t="s">
        <v>3072</v>
      </c>
      <c r="E746" s="12">
        <v>41.8</v>
      </c>
      <c r="F746" s="12">
        <v>8000</v>
      </c>
      <c r="G746" s="12">
        <v>600</v>
      </c>
      <c r="H746" s="12">
        <v>8000</v>
      </c>
      <c r="I746" s="12">
        <v>50</v>
      </c>
      <c r="J746" s="12"/>
      <c r="K746" s="12"/>
    </row>
    <row r="747" spans="1:11" ht="26.4" customHeight="1">
      <c r="A747" s="12" t="s">
        <v>3073</v>
      </c>
      <c r="B747" s="14" t="str">
        <f t="shared" si="0"/>
        <v>지도</v>
      </c>
      <c r="C747" s="12" t="s">
        <v>3074</v>
      </c>
      <c r="D747" s="12" t="s">
        <v>3075</v>
      </c>
      <c r="E747" s="12">
        <v>35</v>
      </c>
      <c r="F747" s="12">
        <v>5000</v>
      </c>
      <c r="G747" s="12">
        <v>400</v>
      </c>
      <c r="H747" s="12">
        <v>3000</v>
      </c>
      <c r="I747" s="12"/>
      <c r="J747" s="12"/>
      <c r="K747" s="12"/>
    </row>
    <row r="748" spans="1:11" ht="26.4" customHeight="1">
      <c r="A748" s="12" t="s">
        <v>3076</v>
      </c>
      <c r="B748" s="14" t="str">
        <f t="shared" si="0"/>
        <v>지도</v>
      </c>
      <c r="C748" s="12" t="s">
        <v>60</v>
      </c>
      <c r="D748" s="12" t="s">
        <v>66</v>
      </c>
      <c r="E748" s="12">
        <v>40.700000000000003</v>
      </c>
      <c r="F748" s="12">
        <v>7000</v>
      </c>
      <c r="G748" s="12">
        <v>540</v>
      </c>
      <c r="H748" s="12">
        <v>0</v>
      </c>
      <c r="I748" s="12">
        <v>60</v>
      </c>
      <c r="J748" s="12" t="s">
        <v>3077</v>
      </c>
      <c r="K748" s="12"/>
    </row>
    <row r="749" spans="1:11" ht="26.4" customHeight="1">
      <c r="A749" s="12" t="s">
        <v>3078</v>
      </c>
      <c r="B749" s="14" t="str">
        <f t="shared" si="0"/>
        <v>지도</v>
      </c>
      <c r="C749" s="12" t="s">
        <v>60</v>
      </c>
      <c r="D749" s="12" t="s">
        <v>66</v>
      </c>
      <c r="E749" s="12">
        <v>58</v>
      </c>
      <c r="F749" s="12">
        <v>7000</v>
      </c>
      <c r="G749" s="12">
        <v>480</v>
      </c>
      <c r="H749" s="12">
        <v>0</v>
      </c>
      <c r="I749" s="12">
        <v>50</v>
      </c>
      <c r="J749" s="12"/>
      <c r="K749" s="12"/>
    </row>
    <row r="750" spans="1:11" ht="26.4" customHeight="1">
      <c r="A750" s="12" t="s">
        <v>3079</v>
      </c>
      <c r="B750" s="14" t="str">
        <f t="shared" si="0"/>
        <v>지도</v>
      </c>
      <c r="C750" s="12" t="s">
        <v>60</v>
      </c>
      <c r="D750" s="12" t="s">
        <v>66</v>
      </c>
      <c r="E750" s="12">
        <v>52.5</v>
      </c>
      <c r="F750" s="12">
        <v>10000</v>
      </c>
      <c r="G750" s="12">
        <v>700</v>
      </c>
      <c r="H750" s="12">
        <v>0</v>
      </c>
      <c r="I750" s="12">
        <v>110</v>
      </c>
      <c r="J750" s="12"/>
      <c r="K750" s="12"/>
    </row>
    <row r="751" spans="1:11" ht="26.4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</row>
    <row r="752" spans="1:11" ht="26.4" customHeight="1">
      <c r="A752" s="13" t="s">
        <v>0</v>
      </c>
      <c r="B752" s="13" t="s">
        <v>925</v>
      </c>
      <c r="C752" s="13" t="s">
        <v>2</v>
      </c>
      <c r="D752" s="13" t="s">
        <v>1453</v>
      </c>
      <c r="E752" s="13" t="s">
        <v>3</v>
      </c>
      <c r="F752" s="13" t="s">
        <v>919</v>
      </c>
      <c r="G752" s="13" t="s">
        <v>920</v>
      </c>
      <c r="H752" s="13" t="s">
        <v>921</v>
      </c>
      <c r="I752" s="13" t="s">
        <v>922</v>
      </c>
      <c r="J752" s="13" t="s">
        <v>8</v>
      </c>
    </row>
    <row r="753" spans="1:10" ht="26.4" customHeight="1">
      <c r="A753" s="12" t="s">
        <v>3080</v>
      </c>
      <c r="B753" s="14" t="str">
        <f>HYPERLINK("https://map.naver.com/v5/search/" &amp; A753, "지도")</f>
        <v>지도</v>
      </c>
      <c r="C753" s="12" t="s">
        <v>59</v>
      </c>
      <c r="D753" s="12" t="s">
        <v>66</v>
      </c>
      <c r="E753" s="12">
        <v>45</v>
      </c>
      <c r="F753" s="12">
        <v>30000</v>
      </c>
      <c r="G753" s="12">
        <v>1400</v>
      </c>
      <c r="H753" s="12">
        <v>0</v>
      </c>
      <c r="I753" s="12">
        <v>150</v>
      </c>
      <c r="J753" s="12" t="s">
        <v>3081</v>
      </c>
    </row>
    <row r="754" spans="1:10" ht="26.4" customHeight="1">
      <c r="A754" s="12" t="s">
        <v>3080</v>
      </c>
      <c r="B754" s="14" t="str">
        <f>HYPERLINK("https://map.naver.com/v5/search/" &amp; A754, "지도")</f>
        <v>지도</v>
      </c>
      <c r="C754" s="12" t="s">
        <v>60</v>
      </c>
      <c r="D754" s="12" t="s">
        <v>66</v>
      </c>
      <c r="E754" s="12">
        <v>45</v>
      </c>
      <c r="F754" s="12">
        <v>20000</v>
      </c>
      <c r="G754" s="12">
        <v>1200</v>
      </c>
      <c r="H754" s="12">
        <v>0</v>
      </c>
      <c r="I754" s="12">
        <v>150</v>
      </c>
      <c r="J754" s="12"/>
    </row>
    <row r="755" spans="1:10" ht="26.4" customHeight="1">
      <c r="A755" s="12" t="s">
        <v>3080</v>
      </c>
      <c r="B755" s="14" t="str">
        <f>HYPERLINK("https://map.naver.com/v5/search/" &amp; A755, "지도")</f>
        <v>지도</v>
      </c>
      <c r="C755" s="12" t="s">
        <v>3082</v>
      </c>
      <c r="D755" s="12" t="s">
        <v>66</v>
      </c>
      <c r="E755" s="12">
        <v>45</v>
      </c>
      <c r="F755" s="12">
        <v>10000</v>
      </c>
      <c r="G755" s="12">
        <v>1000</v>
      </c>
      <c r="H755" s="12">
        <v>0</v>
      </c>
      <c r="I755" s="12">
        <v>150</v>
      </c>
      <c r="J755" s="12"/>
    </row>
    <row r="756" spans="1:10" ht="26.4" customHeight="1">
      <c r="A756" s="12" t="s">
        <v>3083</v>
      </c>
      <c r="B756" s="14" t="str">
        <f t="shared" ref="B756:B769" si="1">HYPERLINK("https://map.naver.com/v5/search/" &amp; A756, "지도")</f>
        <v>지도</v>
      </c>
      <c r="C756" s="12" t="s">
        <v>110</v>
      </c>
      <c r="D756" s="12" t="s">
        <v>66</v>
      </c>
      <c r="E756" s="12">
        <v>60</v>
      </c>
      <c r="F756" s="12">
        <v>60000</v>
      </c>
      <c r="G756" s="12">
        <v>2050</v>
      </c>
      <c r="H756" s="12">
        <v>0</v>
      </c>
      <c r="I756" s="12">
        <v>100</v>
      </c>
      <c r="J756" s="12"/>
    </row>
    <row r="757" spans="1:10" ht="26.4" customHeight="1">
      <c r="A757" s="12" t="s">
        <v>3083</v>
      </c>
      <c r="B757" s="14" t="str">
        <f t="shared" si="1"/>
        <v>지도</v>
      </c>
      <c r="C757" s="12" t="s">
        <v>59</v>
      </c>
      <c r="D757" s="12" t="s">
        <v>66</v>
      </c>
      <c r="E757" s="12">
        <v>26</v>
      </c>
      <c r="F757" s="12">
        <v>35000</v>
      </c>
      <c r="G757" s="12">
        <v>1250</v>
      </c>
      <c r="H757" s="12">
        <v>0</v>
      </c>
      <c r="I757" s="12">
        <v>50</v>
      </c>
      <c r="J757" s="12"/>
    </row>
    <row r="758" spans="1:10" ht="26.4" customHeight="1">
      <c r="A758" s="12" t="s">
        <v>3083</v>
      </c>
      <c r="B758" s="14" t="str">
        <f t="shared" si="1"/>
        <v>지도</v>
      </c>
      <c r="C758" s="12" t="s">
        <v>60</v>
      </c>
      <c r="D758" s="12" t="s">
        <v>66</v>
      </c>
      <c r="E758" s="12">
        <v>34</v>
      </c>
      <c r="F758" s="12">
        <v>25000</v>
      </c>
      <c r="G758" s="12">
        <v>800</v>
      </c>
      <c r="H758" s="12">
        <v>0</v>
      </c>
      <c r="I758" s="12">
        <v>50</v>
      </c>
      <c r="J758" s="12"/>
    </row>
    <row r="759" spans="1:10" ht="26.4" customHeight="1">
      <c r="A759" s="12" t="s">
        <v>3084</v>
      </c>
      <c r="B759" s="14" t="str">
        <f t="shared" si="1"/>
        <v>지도</v>
      </c>
      <c r="C759" s="12" t="s">
        <v>59</v>
      </c>
      <c r="D759" s="12" t="s">
        <v>66</v>
      </c>
      <c r="E759" s="12" t="s">
        <v>210</v>
      </c>
      <c r="F759" s="12" t="s">
        <v>210</v>
      </c>
      <c r="G759" s="12" t="s">
        <v>210</v>
      </c>
      <c r="H759" s="12">
        <v>0</v>
      </c>
      <c r="I759" s="12" t="s">
        <v>3085</v>
      </c>
      <c r="J759" s="12" t="s">
        <v>3086</v>
      </c>
    </row>
    <row r="760" spans="1:10" ht="26.4" customHeight="1">
      <c r="A760" s="12" t="s">
        <v>3087</v>
      </c>
      <c r="B760" s="14" t="str">
        <f t="shared" si="1"/>
        <v>지도</v>
      </c>
      <c r="C760" s="12" t="s">
        <v>59</v>
      </c>
      <c r="D760" s="12" t="s">
        <v>66</v>
      </c>
      <c r="E760" s="12">
        <v>31</v>
      </c>
      <c r="F760" s="12">
        <v>7000</v>
      </c>
      <c r="G760" s="12">
        <v>400</v>
      </c>
      <c r="H760" s="12">
        <v>0</v>
      </c>
      <c r="I760" s="12">
        <v>35</v>
      </c>
      <c r="J760" s="12" t="s">
        <v>3088</v>
      </c>
    </row>
    <row r="761" spans="1:10" ht="26.4" customHeight="1">
      <c r="A761" s="12" t="s">
        <v>3089</v>
      </c>
      <c r="B761" s="14" t="str">
        <f t="shared" si="1"/>
        <v>지도</v>
      </c>
      <c r="C761" s="12" t="s">
        <v>59</v>
      </c>
      <c r="D761" s="12" t="s">
        <v>66</v>
      </c>
      <c r="E761" s="12">
        <v>40</v>
      </c>
      <c r="F761" s="12">
        <v>6000</v>
      </c>
      <c r="G761" s="12">
        <v>700</v>
      </c>
      <c r="H761" s="12">
        <v>0</v>
      </c>
      <c r="I761" s="12"/>
      <c r="J761" s="12"/>
    </row>
    <row r="762" spans="1:10" ht="26.4" customHeight="1">
      <c r="A762" s="12" t="s">
        <v>3090</v>
      </c>
      <c r="B762" s="14" t="str">
        <f t="shared" si="1"/>
        <v>지도</v>
      </c>
      <c r="C762" s="12" t="s">
        <v>59</v>
      </c>
      <c r="D762" s="12" t="s">
        <v>3091</v>
      </c>
      <c r="E762" s="12">
        <v>9.49</v>
      </c>
      <c r="F762" s="12">
        <v>3000</v>
      </c>
      <c r="G762" s="12">
        <v>200</v>
      </c>
      <c r="H762" s="12">
        <v>6000</v>
      </c>
      <c r="I762" s="12">
        <v>3</v>
      </c>
      <c r="J762" s="12" t="s">
        <v>3092</v>
      </c>
    </row>
    <row r="763" spans="1:10" ht="26.4" customHeight="1">
      <c r="A763" s="12" t="s">
        <v>3093</v>
      </c>
      <c r="B763" s="14" t="str">
        <f t="shared" si="1"/>
        <v>지도</v>
      </c>
      <c r="C763" s="12" t="s">
        <v>59</v>
      </c>
      <c r="D763" s="12" t="s">
        <v>66</v>
      </c>
      <c r="E763" s="12">
        <v>22</v>
      </c>
      <c r="F763" s="12">
        <v>6000</v>
      </c>
      <c r="G763" s="12">
        <v>520</v>
      </c>
      <c r="H763" s="12">
        <v>6000</v>
      </c>
      <c r="I763" s="12">
        <v>25</v>
      </c>
      <c r="J763" s="12"/>
    </row>
    <row r="764" spans="1:10" ht="26.4" customHeight="1">
      <c r="A764" s="12" t="s">
        <v>3094</v>
      </c>
      <c r="B764" s="14" t="str">
        <f t="shared" si="1"/>
        <v>지도</v>
      </c>
      <c r="C764" s="12" t="s">
        <v>59</v>
      </c>
      <c r="D764" s="12" t="s">
        <v>1813</v>
      </c>
      <c r="E764" s="12">
        <v>36</v>
      </c>
      <c r="F764" s="12">
        <v>10000</v>
      </c>
      <c r="G764" s="12">
        <v>1200</v>
      </c>
      <c r="H764" s="12">
        <v>0</v>
      </c>
      <c r="I764" s="12">
        <v>60</v>
      </c>
      <c r="J764" s="12"/>
    </row>
    <row r="765" spans="1:10" ht="26.4" customHeight="1">
      <c r="A765" s="12" t="s">
        <v>3095</v>
      </c>
      <c r="B765" s="14" t="str">
        <f t="shared" si="1"/>
        <v>지도</v>
      </c>
      <c r="C765" s="12" t="s">
        <v>59</v>
      </c>
      <c r="D765" s="12" t="s">
        <v>66</v>
      </c>
      <c r="E765" s="12">
        <v>26</v>
      </c>
      <c r="F765" s="12">
        <v>9000</v>
      </c>
      <c r="G765" s="12">
        <v>590</v>
      </c>
      <c r="H765" s="12">
        <v>0</v>
      </c>
      <c r="I765" s="12">
        <v>40</v>
      </c>
      <c r="J765" s="12" t="s">
        <v>3051</v>
      </c>
    </row>
    <row r="766" spans="1:10" ht="26.4" customHeight="1">
      <c r="A766" s="12" t="s">
        <v>3095</v>
      </c>
      <c r="B766" s="14" t="str">
        <f t="shared" si="1"/>
        <v>지도</v>
      </c>
      <c r="C766" s="12" t="s">
        <v>60</v>
      </c>
      <c r="D766" s="12" t="s">
        <v>66</v>
      </c>
      <c r="E766" s="12">
        <v>30</v>
      </c>
      <c r="F766" s="12">
        <v>7000</v>
      </c>
      <c r="G766" s="12">
        <v>440</v>
      </c>
      <c r="H766" s="12">
        <v>0</v>
      </c>
      <c r="I766" s="12">
        <v>40</v>
      </c>
      <c r="J766" s="12"/>
    </row>
    <row r="767" spans="1:10" ht="26.4" customHeight="1">
      <c r="A767" s="12" t="s">
        <v>3095</v>
      </c>
      <c r="B767" s="14" t="str">
        <f t="shared" si="1"/>
        <v>지도</v>
      </c>
      <c r="C767" s="12" t="s">
        <v>3082</v>
      </c>
      <c r="D767" s="12" t="s">
        <v>66</v>
      </c>
      <c r="E767" s="12">
        <v>30</v>
      </c>
      <c r="F767" s="12">
        <v>5000</v>
      </c>
      <c r="G767" s="12">
        <v>350</v>
      </c>
      <c r="H767" s="12">
        <v>0</v>
      </c>
      <c r="I767" s="12">
        <v>40</v>
      </c>
      <c r="J767" s="12"/>
    </row>
    <row r="768" spans="1:10" ht="26.4" customHeight="1">
      <c r="A768" s="12" t="s">
        <v>3096</v>
      </c>
      <c r="B768" s="14" t="str">
        <f t="shared" si="1"/>
        <v>지도</v>
      </c>
      <c r="C768" s="12" t="s">
        <v>110</v>
      </c>
      <c r="D768" s="12" t="s">
        <v>3097</v>
      </c>
      <c r="E768" s="12">
        <v>75</v>
      </c>
      <c r="F768" s="12">
        <v>10000</v>
      </c>
      <c r="G768" s="12">
        <v>840</v>
      </c>
      <c r="H768" s="12">
        <v>0</v>
      </c>
      <c r="I768" s="12">
        <v>0</v>
      </c>
      <c r="J768" s="12" t="s">
        <v>3098</v>
      </c>
    </row>
    <row r="769" spans="1:10" ht="26.4" customHeight="1">
      <c r="A769" s="12" t="s">
        <v>3099</v>
      </c>
      <c r="B769" s="14" t="str">
        <f t="shared" si="1"/>
        <v>지도</v>
      </c>
      <c r="C769" s="12" t="s">
        <v>59</v>
      </c>
      <c r="D769" s="12" t="s">
        <v>66</v>
      </c>
      <c r="E769" s="12">
        <v>57</v>
      </c>
      <c r="F769" s="12">
        <v>10000</v>
      </c>
      <c r="G769" s="12">
        <v>700</v>
      </c>
      <c r="H769" s="12">
        <v>0</v>
      </c>
      <c r="I769" s="12">
        <v>0</v>
      </c>
      <c r="J769" s="12" t="s">
        <v>2891</v>
      </c>
    </row>
    <row r="771" spans="1:10" ht="26.4" customHeight="1">
      <c r="A771" s="13" t="s">
        <v>0</v>
      </c>
      <c r="B771" s="13" t="s">
        <v>925</v>
      </c>
      <c r="C771" s="13" t="s">
        <v>2</v>
      </c>
      <c r="D771" s="13" t="s">
        <v>1453</v>
      </c>
      <c r="E771" s="13" t="s">
        <v>3</v>
      </c>
      <c r="F771" s="13" t="s">
        <v>919</v>
      </c>
      <c r="G771" s="13" t="s">
        <v>920</v>
      </c>
      <c r="H771" s="13" t="s">
        <v>921</v>
      </c>
      <c r="I771" s="13" t="s">
        <v>922</v>
      </c>
      <c r="J771" s="13" t="s">
        <v>8</v>
      </c>
    </row>
    <row r="772" spans="1:10" ht="26.4" customHeight="1">
      <c r="A772" s="12" t="s">
        <v>3100</v>
      </c>
      <c r="B772" s="14" t="str">
        <f>HYPERLINK("https://map.naver.com/v5/search/" &amp; A772, "지도")</f>
        <v>지도</v>
      </c>
      <c r="C772" s="12" t="s">
        <v>60</v>
      </c>
      <c r="D772" s="12" t="s">
        <v>66</v>
      </c>
      <c r="E772" s="12">
        <v>27</v>
      </c>
      <c r="F772" s="12">
        <v>3000</v>
      </c>
      <c r="G772" s="12">
        <v>300</v>
      </c>
      <c r="H772" s="12">
        <v>0</v>
      </c>
      <c r="I772" s="12">
        <v>7</v>
      </c>
      <c r="J772" s="12" t="s">
        <v>3101</v>
      </c>
    </row>
    <row r="773" spans="1:10" ht="26.4" customHeight="1">
      <c r="A773" s="12" t="s">
        <v>3102</v>
      </c>
      <c r="B773" s="14" t="str">
        <f t="shared" ref="B773:B786" si="2">HYPERLINK("https://map.naver.com/v5/search/" &amp; A773, "지도")</f>
        <v>지도</v>
      </c>
      <c r="C773" s="12" t="s">
        <v>59</v>
      </c>
      <c r="D773" s="12" t="s">
        <v>1594</v>
      </c>
      <c r="E773" s="12">
        <v>21</v>
      </c>
      <c r="F773" s="12">
        <v>3000</v>
      </c>
      <c r="G773" s="12">
        <v>270</v>
      </c>
      <c r="H773" s="12">
        <v>0</v>
      </c>
      <c r="I773" s="12">
        <v>12</v>
      </c>
      <c r="J773" s="12" t="s">
        <v>3103</v>
      </c>
    </row>
    <row r="774" spans="1:10" ht="26.4" customHeight="1">
      <c r="A774" s="12" t="s">
        <v>3104</v>
      </c>
      <c r="B774" s="14" t="str">
        <f t="shared" si="2"/>
        <v>지도</v>
      </c>
      <c r="C774" s="12" t="s">
        <v>59</v>
      </c>
      <c r="D774" s="12" t="s">
        <v>66</v>
      </c>
      <c r="E774" s="12">
        <v>12.7</v>
      </c>
      <c r="F774" s="12">
        <v>5000</v>
      </c>
      <c r="G774" s="12">
        <v>280</v>
      </c>
      <c r="H774" s="12">
        <v>0</v>
      </c>
      <c r="I774" s="12">
        <v>10</v>
      </c>
      <c r="J774" s="12" t="s">
        <v>3105</v>
      </c>
    </row>
    <row r="775" spans="1:10" ht="26.4" customHeight="1">
      <c r="A775" s="12" t="s">
        <v>3106</v>
      </c>
      <c r="B775" s="14" t="str">
        <f t="shared" si="2"/>
        <v>지도</v>
      </c>
      <c r="C775" s="12" t="s">
        <v>59</v>
      </c>
      <c r="D775" s="12" t="s">
        <v>3107</v>
      </c>
      <c r="E775" s="12">
        <v>25</v>
      </c>
      <c r="F775" s="12">
        <v>10000</v>
      </c>
      <c r="G775" s="12">
        <v>600</v>
      </c>
      <c r="H775" s="12">
        <v>0</v>
      </c>
      <c r="I775" s="12">
        <v>60</v>
      </c>
      <c r="J775" s="12"/>
    </row>
    <row r="776" spans="1:10" ht="26.4" customHeight="1">
      <c r="A776" s="12" t="s">
        <v>3106</v>
      </c>
      <c r="B776" s="14" t="str">
        <f t="shared" si="2"/>
        <v>지도</v>
      </c>
      <c r="C776" s="12" t="s">
        <v>3108</v>
      </c>
      <c r="D776" s="12" t="s">
        <v>66</v>
      </c>
      <c r="E776" s="12">
        <v>15</v>
      </c>
      <c r="F776" s="12">
        <v>2500</v>
      </c>
      <c r="G776" s="12">
        <v>220</v>
      </c>
      <c r="H776" s="12">
        <v>0</v>
      </c>
      <c r="I776" s="12">
        <v>20</v>
      </c>
      <c r="J776" s="12"/>
    </row>
    <row r="777" spans="1:10" ht="26.4" customHeight="1">
      <c r="A777" s="12" t="s">
        <v>3109</v>
      </c>
      <c r="B777" s="14" t="str">
        <f t="shared" si="2"/>
        <v>지도</v>
      </c>
      <c r="C777" s="12" t="s">
        <v>59</v>
      </c>
      <c r="D777" s="12" t="s">
        <v>3110</v>
      </c>
      <c r="E777" s="12">
        <v>29</v>
      </c>
      <c r="F777" s="12">
        <v>23000</v>
      </c>
      <c r="G777" s="12">
        <v>2300</v>
      </c>
      <c r="H777" s="12">
        <v>0</v>
      </c>
      <c r="I777" s="12">
        <v>50</v>
      </c>
      <c r="J777" s="12" t="s">
        <v>3111</v>
      </c>
    </row>
    <row r="778" spans="1:10" ht="26.4" customHeight="1">
      <c r="A778" s="12" t="s">
        <v>3112</v>
      </c>
      <c r="B778" s="14" t="str">
        <f t="shared" si="2"/>
        <v>지도</v>
      </c>
      <c r="C778" s="12" t="s">
        <v>59</v>
      </c>
      <c r="D778" s="12" t="s">
        <v>66</v>
      </c>
      <c r="E778" s="12">
        <v>8</v>
      </c>
      <c r="F778" s="12">
        <v>3000</v>
      </c>
      <c r="G778" s="12">
        <v>260</v>
      </c>
      <c r="H778" s="12">
        <v>0</v>
      </c>
      <c r="I778" s="12"/>
      <c r="J778" s="12"/>
    </row>
    <row r="779" spans="1:10" ht="26.4" customHeight="1">
      <c r="A779" s="12" t="s">
        <v>3113</v>
      </c>
      <c r="B779" s="14" t="str">
        <f t="shared" si="2"/>
        <v>지도</v>
      </c>
      <c r="C779" s="12" t="s">
        <v>60</v>
      </c>
      <c r="D779" s="12" t="s">
        <v>3114</v>
      </c>
      <c r="E779" s="12">
        <v>36.5</v>
      </c>
      <c r="F779" s="12">
        <v>2500</v>
      </c>
      <c r="G779" s="12">
        <v>250</v>
      </c>
      <c r="H779" s="12">
        <v>0</v>
      </c>
      <c r="I779" s="12">
        <v>120</v>
      </c>
      <c r="J779" s="12" t="s">
        <v>3115</v>
      </c>
    </row>
    <row r="780" spans="1:10" ht="26.4" customHeight="1">
      <c r="A780" s="12" t="s">
        <v>3116</v>
      </c>
      <c r="B780" s="14" t="str">
        <f t="shared" si="2"/>
        <v>지도</v>
      </c>
      <c r="C780" s="12" t="s">
        <v>60</v>
      </c>
      <c r="D780" s="12" t="s">
        <v>3117</v>
      </c>
      <c r="E780" s="12">
        <v>75</v>
      </c>
      <c r="F780" s="12">
        <v>15000</v>
      </c>
      <c r="G780" s="12">
        <v>870</v>
      </c>
      <c r="H780" s="12">
        <v>25000</v>
      </c>
      <c r="I780" s="12">
        <v>170</v>
      </c>
      <c r="J780" s="12"/>
    </row>
    <row r="781" spans="1:10" ht="26.4" customHeight="1">
      <c r="A781" s="12" t="s">
        <v>3118</v>
      </c>
      <c r="B781" s="14" t="str">
        <f t="shared" si="2"/>
        <v>지도</v>
      </c>
      <c r="C781" s="12" t="s">
        <v>3082</v>
      </c>
      <c r="D781" s="12" t="s">
        <v>66</v>
      </c>
      <c r="E781" s="12">
        <v>43</v>
      </c>
      <c r="F781" s="12">
        <v>6000</v>
      </c>
      <c r="G781" s="12">
        <v>480</v>
      </c>
      <c r="H781" s="12">
        <v>0</v>
      </c>
      <c r="I781" s="12">
        <v>100</v>
      </c>
      <c r="J781" s="12" t="s">
        <v>3119</v>
      </c>
    </row>
    <row r="782" spans="1:10" ht="26.4" customHeight="1">
      <c r="A782" s="12" t="s">
        <v>2606</v>
      </c>
      <c r="B782" s="14" t="str">
        <f t="shared" si="2"/>
        <v>지도</v>
      </c>
      <c r="C782" s="12" t="s">
        <v>60</v>
      </c>
      <c r="D782" s="12" t="s">
        <v>3120</v>
      </c>
      <c r="E782" s="12">
        <v>50</v>
      </c>
      <c r="F782" s="12">
        <v>22000</v>
      </c>
      <c r="G782" s="12">
        <v>700</v>
      </c>
      <c r="H782" s="12">
        <v>12000</v>
      </c>
      <c r="I782" s="12">
        <v>150</v>
      </c>
      <c r="J782" s="12" t="s">
        <v>3121</v>
      </c>
    </row>
    <row r="783" spans="1:10" ht="26.4" customHeight="1">
      <c r="A783" s="12" t="s">
        <v>3122</v>
      </c>
      <c r="B783" s="14" t="str">
        <f t="shared" si="2"/>
        <v>지도</v>
      </c>
      <c r="C783" s="12" t="s">
        <v>59</v>
      </c>
      <c r="D783" s="12" t="s">
        <v>3123</v>
      </c>
      <c r="E783" s="12">
        <v>16</v>
      </c>
      <c r="F783" s="12">
        <v>7000</v>
      </c>
      <c r="G783" s="12">
        <v>600</v>
      </c>
      <c r="H783" s="12">
        <v>5000</v>
      </c>
      <c r="I783" s="12">
        <v>30</v>
      </c>
      <c r="J783" s="12"/>
    </row>
    <row r="784" spans="1:10" ht="26.4" customHeight="1">
      <c r="A784" s="12" t="s">
        <v>3124</v>
      </c>
      <c r="B784" s="14" t="str">
        <f t="shared" si="2"/>
        <v>지도</v>
      </c>
      <c r="C784" s="12" t="s">
        <v>1789</v>
      </c>
      <c r="D784" s="12" t="s">
        <v>3125</v>
      </c>
      <c r="E784" s="12">
        <v>42</v>
      </c>
      <c r="F784" s="12">
        <v>6000</v>
      </c>
      <c r="G784" s="12">
        <v>370</v>
      </c>
      <c r="H784" s="12">
        <v>2000</v>
      </c>
      <c r="I784" s="12">
        <v>150</v>
      </c>
      <c r="J784" s="12" t="s">
        <v>3126</v>
      </c>
    </row>
    <row r="785" spans="1:10" ht="26.4" customHeight="1">
      <c r="A785" s="12" t="s">
        <v>3127</v>
      </c>
      <c r="B785" s="14" t="str">
        <f t="shared" si="2"/>
        <v>지도</v>
      </c>
      <c r="C785" s="12" t="s">
        <v>1789</v>
      </c>
      <c r="D785" s="12" t="s">
        <v>3128</v>
      </c>
      <c r="E785" s="12">
        <v>44</v>
      </c>
      <c r="F785" s="12">
        <v>7000</v>
      </c>
      <c r="G785" s="12">
        <v>400</v>
      </c>
      <c r="H785" s="12">
        <v>13000</v>
      </c>
      <c r="I785" s="12">
        <v>110</v>
      </c>
      <c r="J785" s="12" t="s">
        <v>3129</v>
      </c>
    </row>
    <row r="786" spans="1:10" ht="26.4" customHeight="1">
      <c r="A786" s="12" t="s">
        <v>3130</v>
      </c>
      <c r="B786" s="14" t="str">
        <f t="shared" si="2"/>
        <v>지도</v>
      </c>
      <c r="C786" s="12" t="s">
        <v>110</v>
      </c>
      <c r="D786" s="12" t="s">
        <v>3131</v>
      </c>
      <c r="E786" s="12">
        <v>48</v>
      </c>
      <c r="F786" s="12">
        <v>10000</v>
      </c>
      <c r="G786" s="12">
        <v>1045</v>
      </c>
      <c r="H786" s="12">
        <v>12000</v>
      </c>
      <c r="I786" s="12"/>
      <c r="J786" s="12" t="s">
        <v>3132</v>
      </c>
    </row>
    <row r="788" spans="1:10" ht="26.4" customHeight="1">
      <c r="A788" s="13" t="s">
        <v>0</v>
      </c>
      <c r="B788" s="13" t="s">
        <v>925</v>
      </c>
      <c r="C788" s="13" t="s">
        <v>1549</v>
      </c>
      <c r="D788" s="13" t="s">
        <v>1453</v>
      </c>
      <c r="E788" s="13" t="s">
        <v>3</v>
      </c>
      <c r="F788" s="13" t="s">
        <v>919</v>
      </c>
      <c r="G788" s="13" t="s">
        <v>1551</v>
      </c>
      <c r="H788" s="13" t="s">
        <v>921</v>
      </c>
      <c r="I788" s="13" t="s">
        <v>922</v>
      </c>
      <c r="J788" s="13" t="s">
        <v>8</v>
      </c>
    </row>
    <row r="789" spans="1:10" ht="26.4" customHeight="1">
      <c r="A789" s="12" t="s">
        <v>3133</v>
      </c>
      <c r="B789" s="14" t="s">
        <v>960</v>
      </c>
      <c r="C789" s="12" t="s">
        <v>59</v>
      </c>
      <c r="D789" s="12" t="s">
        <v>3134</v>
      </c>
      <c r="E789" s="12">
        <v>55</v>
      </c>
      <c r="F789" s="16">
        <v>44283</v>
      </c>
      <c r="G789" s="16">
        <v>3315</v>
      </c>
      <c r="H789" s="16">
        <v>15000</v>
      </c>
      <c r="I789" s="12">
        <v>299</v>
      </c>
      <c r="J789" s="12" t="s">
        <v>3135</v>
      </c>
    </row>
    <row r="790" spans="1:10" ht="26.4" customHeight="1">
      <c r="A790" s="12" t="s">
        <v>3136</v>
      </c>
      <c r="B790" s="14" t="str">
        <f>HYPERLINK("https://map.naver.com/v5/search/" &amp; A790, "지도")</f>
        <v>지도</v>
      </c>
      <c r="C790" s="12" t="s">
        <v>59</v>
      </c>
      <c r="D790" s="12" t="s">
        <v>3137</v>
      </c>
      <c r="E790" s="12">
        <v>80</v>
      </c>
      <c r="F790" s="16">
        <v>30232</v>
      </c>
      <c r="G790" s="16">
        <v>3023</v>
      </c>
      <c r="H790" s="12" t="s">
        <v>210</v>
      </c>
      <c r="I790" s="12">
        <v>431</v>
      </c>
      <c r="J790" s="12" t="s">
        <v>3138</v>
      </c>
    </row>
    <row r="791" spans="1:10" ht="26.4" customHeight="1">
      <c r="A791" s="12" t="s">
        <v>3139</v>
      </c>
      <c r="B791" s="14" t="str">
        <f t="shared" ref="B791:B798" si="3">HYPERLINK("https://map.naver.com/v5/search/" &amp; A791, "지도")</f>
        <v>지도</v>
      </c>
      <c r="C791" s="12" t="s">
        <v>60</v>
      </c>
      <c r="D791" s="12" t="s">
        <v>3140</v>
      </c>
      <c r="E791" s="12">
        <v>104</v>
      </c>
      <c r="F791" s="16">
        <v>48066</v>
      </c>
      <c r="G791" s="16">
        <v>3204</v>
      </c>
      <c r="H791" s="12" t="s">
        <v>210</v>
      </c>
      <c r="I791" s="12">
        <v>785</v>
      </c>
      <c r="J791" s="12" t="s">
        <v>3141</v>
      </c>
    </row>
    <row r="792" spans="1:10" ht="26.4" customHeight="1">
      <c r="A792" s="12" t="s">
        <v>3142</v>
      </c>
      <c r="B792" s="14" t="str">
        <f t="shared" si="3"/>
        <v>지도</v>
      </c>
      <c r="C792" s="12" t="s">
        <v>59</v>
      </c>
      <c r="D792" s="12" t="s">
        <v>819</v>
      </c>
      <c r="E792" s="12">
        <v>104</v>
      </c>
      <c r="F792" s="16">
        <v>13000</v>
      </c>
      <c r="G792" s="16">
        <v>1300</v>
      </c>
      <c r="H792" s="16">
        <v>35000</v>
      </c>
      <c r="I792" s="12">
        <v>100</v>
      </c>
      <c r="J792" s="12" t="s">
        <v>3143</v>
      </c>
    </row>
    <row r="793" spans="1:10" ht="26.4" customHeight="1">
      <c r="A793" s="12" t="s">
        <v>3144</v>
      </c>
      <c r="B793" s="14" t="str">
        <f t="shared" si="3"/>
        <v>지도</v>
      </c>
      <c r="C793" s="12" t="s">
        <v>110</v>
      </c>
      <c r="D793" s="12" t="s">
        <v>3145</v>
      </c>
      <c r="E793" s="12">
        <v>50</v>
      </c>
      <c r="F793" s="16">
        <v>18000</v>
      </c>
      <c r="G793" s="16">
        <v>1150</v>
      </c>
      <c r="H793" s="16">
        <v>30000</v>
      </c>
      <c r="I793" s="12" t="s">
        <v>210</v>
      </c>
      <c r="J793" s="12" t="s">
        <v>3146</v>
      </c>
    </row>
    <row r="794" spans="1:10" ht="26.4" customHeight="1">
      <c r="A794" s="12" t="s">
        <v>3147</v>
      </c>
      <c r="B794" s="14" t="str">
        <f t="shared" si="3"/>
        <v>지도</v>
      </c>
      <c r="C794" s="12" t="s">
        <v>110</v>
      </c>
      <c r="D794" s="12" t="s">
        <v>3131</v>
      </c>
      <c r="E794" s="12">
        <v>48</v>
      </c>
      <c r="F794" s="16">
        <v>10000</v>
      </c>
      <c r="G794" s="16">
        <v>1045</v>
      </c>
      <c r="H794" s="16">
        <v>12000</v>
      </c>
      <c r="I794" s="12" t="s">
        <v>210</v>
      </c>
      <c r="J794" s="12" t="s">
        <v>3148</v>
      </c>
    </row>
    <row r="795" spans="1:10" ht="26.4" customHeight="1">
      <c r="A795" s="12" t="s">
        <v>3149</v>
      </c>
      <c r="B795" s="14" t="str">
        <f t="shared" si="3"/>
        <v>지도</v>
      </c>
      <c r="C795" s="12" t="s">
        <v>59</v>
      </c>
      <c r="D795" s="12" t="s">
        <v>3150</v>
      </c>
      <c r="E795" s="12">
        <v>30</v>
      </c>
      <c r="F795" s="16">
        <v>10000</v>
      </c>
      <c r="G795" s="12">
        <v>900</v>
      </c>
      <c r="H795" s="16">
        <v>65000</v>
      </c>
      <c r="I795" s="12" t="s">
        <v>210</v>
      </c>
      <c r="J795" s="12" t="s">
        <v>3151</v>
      </c>
    </row>
    <row r="796" spans="1:10" ht="26.4" customHeight="1">
      <c r="A796" s="12" t="s">
        <v>3152</v>
      </c>
      <c r="B796" s="14" t="str">
        <f>HYPERLINK("https://map.naver.com/v5/search/" &amp; A796, "지도")</f>
        <v>지도</v>
      </c>
      <c r="C796" s="12" t="s">
        <v>59</v>
      </c>
      <c r="D796" s="12" t="s">
        <v>3153</v>
      </c>
      <c r="E796" s="12">
        <v>9</v>
      </c>
      <c r="F796" s="16">
        <v>8000</v>
      </c>
      <c r="G796" s="12">
        <v>600</v>
      </c>
      <c r="H796" s="16">
        <v>40000</v>
      </c>
      <c r="I796" s="12">
        <v>10</v>
      </c>
      <c r="J796" s="12" t="s">
        <v>3151</v>
      </c>
    </row>
    <row r="797" spans="1:10" ht="26.4" customHeight="1">
      <c r="A797" s="12" t="s">
        <v>3154</v>
      </c>
      <c r="B797" s="14" t="str">
        <f t="shared" si="3"/>
        <v>지도</v>
      </c>
      <c r="C797" s="12" t="s">
        <v>60</v>
      </c>
      <c r="D797" s="12" t="s">
        <v>66</v>
      </c>
      <c r="E797" s="12">
        <v>40</v>
      </c>
      <c r="F797" s="16">
        <v>18000</v>
      </c>
      <c r="G797" s="12">
        <v>700</v>
      </c>
      <c r="H797" s="12" t="s">
        <v>210</v>
      </c>
      <c r="I797" s="12">
        <v>30</v>
      </c>
      <c r="J797" s="12" t="s">
        <v>3155</v>
      </c>
    </row>
    <row r="798" spans="1:10" ht="26.4" customHeight="1">
      <c r="A798" s="12" t="s">
        <v>3156</v>
      </c>
      <c r="B798" s="14" t="str">
        <f t="shared" si="3"/>
        <v>지도</v>
      </c>
      <c r="C798" s="12" t="s">
        <v>2386</v>
      </c>
      <c r="D798" s="12" t="s">
        <v>3157</v>
      </c>
      <c r="E798" s="12">
        <v>48</v>
      </c>
      <c r="F798" s="16">
        <v>6000</v>
      </c>
      <c r="G798" s="12">
        <v>700</v>
      </c>
      <c r="H798" s="16">
        <v>24000</v>
      </c>
      <c r="I798" s="12" t="s">
        <v>210</v>
      </c>
      <c r="J798" s="12" t="s">
        <v>3158</v>
      </c>
    </row>
    <row r="799" spans="1:10" ht="26.4" customHeight="1">
      <c r="B799" s="14"/>
    </row>
    <row r="800" spans="1:10" ht="26.4" customHeight="1">
      <c r="A800" s="13" t="s">
        <v>0</v>
      </c>
      <c r="B800" s="13" t="s">
        <v>925</v>
      </c>
      <c r="C800" s="13" t="s">
        <v>1549</v>
      </c>
      <c r="D800" s="13" t="s">
        <v>1453</v>
      </c>
      <c r="E800" s="13" t="s">
        <v>3</v>
      </c>
      <c r="F800" s="13" t="s">
        <v>919</v>
      </c>
      <c r="G800" s="13" t="s">
        <v>1551</v>
      </c>
      <c r="H800" s="13" t="s">
        <v>921</v>
      </c>
      <c r="I800" s="13" t="s">
        <v>922</v>
      </c>
      <c r="J800" s="13" t="s">
        <v>8</v>
      </c>
    </row>
    <row r="801" spans="1:10" ht="26.4" customHeight="1">
      <c r="A801" s="12" t="s">
        <v>3159</v>
      </c>
      <c r="B801" s="14" t="str">
        <f t="shared" ref="B801:B812" si="4">HYPERLINK("https://map.naver.com/v5/search/" &amp; A801, "지도")</f>
        <v>지도</v>
      </c>
      <c r="C801" s="12" t="s">
        <v>59</v>
      </c>
      <c r="D801" s="12" t="s">
        <v>66</v>
      </c>
      <c r="E801" s="12">
        <v>18.600000000000001</v>
      </c>
      <c r="F801" s="12">
        <v>20000</v>
      </c>
      <c r="G801" s="12">
        <v>1350</v>
      </c>
      <c r="H801" s="12" t="s">
        <v>210</v>
      </c>
      <c r="I801" s="12" t="s">
        <v>210</v>
      </c>
      <c r="J801" s="12" t="s">
        <v>3160</v>
      </c>
    </row>
    <row r="802" spans="1:10" ht="26.4" customHeight="1">
      <c r="A802" s="12" t="s">
        <v>3161</v>
      </c>
      <c r="B802" s="14" t="str">
        <f t="shared" si="4"/>
        <v>지도</v>
      </c>
      <c r="C802" s="12" t="s">
        <v>59</v>
      </c>
      <c r="D802" s="12" t="s">
        <v>3162</v>
      </c>
      <c r="E802" s="12">
        <v>20</v>
      </c>
      <c r="F802" s="12">
        <v>6000</v>
      </c>
      <c r="G802" s="12">
        <v>500</v>
      </c>
      <c r="H802" s="12">
        <v>10000</v>
      </c>
      <c r="I802" s="12">
        <v>17</v>
      </c>
      <c r="J802" s="12" t="s">
        <v>3163</v>
      </c>
    </row>
    <row r="803" spans="1:10" ht="26.4" customHeight="1">
      <c r="A803" s="12" t="s">
        <v>3164</v>
      </c>
      <c r="B803" s="14" t="str">
        <f t="shared" si="4"/>
        <v>지도</v>
      </c>
      <c r="C803" s="12" t="s">
        <v>59</v>
      </c>
      <c r="D803" s="12" t="s">
        <v>3165</v>
      </c>
      <c r="E803" s="12">
        <v>16</v>
      </c>
      <c r="F803" s="12">
        <v>5000</v>
      </c>
      <c r="G803" s="12">
        <v>420</v>
      </c>
      <c r="H803" s="12">
        <v>2000</v>
      </c>
      <c r="I803" s="12">
        <v>30</v>
      </c>
      <c r="J803" s="12"/>
    </row>
    <row r="804" spans="1:10" ht="26.4" customHeight="1">
      <c r="A804" s="12" t="s">
        <v>3166</v>
      </c>
      <c r="B804" s="14" t="str">
        <f t="shared" si="4"/>
        <v>지도</v>
      </c>
      <c r="C804" s="12" t="s">
        <v>59</v>
      </c>
      <c r="D804" s="12" t="s">
        <v>3167</v>
      </c>
      <c r="E804" s="12">
        <v>15</v>
      </c>
      <c r="F804" s="12">
        <v>3000</v>
      </c>
      <c r="G804" s="12">
        <v>324</v>
      </c>
      <c r="H804" s="12">
        <v>12000</v>
      </c>
      <c r="I804" s="12">
        <v>10</v>
      </c>
      <c r="J804" s="12" t="s">
        <v>3168</v>
      </c>
    </row>
    <row r="805" spans="1:10" ht="26.4" customHeight="1">
      <c r="A805" s="12" t="s">
        <v>3169</v>
      </c>
      <c r="B805" s="14" t="str">
        <f t="shared" si="4"/>
        <v>지도</v>
      </c>
      <c r="C805" s="12" t="s">
        <v>59</v>
      </c>
      <c r="D805" s="12" t="s">
        <v>1625</v>
      </c>
      <c r="E805" s="12">
        <v>22</v>
      </c>
      <c r="F805" s="12">
        <v>10000</v>
      </c>
      <c r="G805" s="12">
        <v>680</v>
      </c>
      <c r="H805" s="12">
        <v>15000</v>
      </c>
      <c r="I805" s="12">
        <v>20</v>
      </c>
      <c r="J805" s="12"/>
    </row>
    <row r="806" spans="1:10" ht="26.4" customHeight="1">
      <c r="A806" s="12" t="s">
        <v>3170</v>
      </c>
      <c r="B806" s="14" t="str">
        <f t="shared" si="4"/>
        <v>지도</v>
      </c>
      <c r="C806" s="12" t="s">
        <v>59</v>
      </c>
      <c r="D806" s="12" t="s">
        <v>66</v>
      </c>
      <c r="E806" s="12">
        <v>65</v>
      </c>
      <c r="F806" s="12">
        <v>10000</v>
      </c>
      <c r="G806" s="12">
        <v>740</v>
      </c>
      <c r="H806" s="12" t="s">
        <v>210</v>
      </c>
      <c r="I806" s="12">
        <v>0</v>
      </c>
      <c r="J806" s="12" t="s">
        <v>3171</v>
      </c>
    </row>
    <row r="807" spans="1:10" ht="26.4" customHeight="1">
      <c r="A807" s="12" t="s">
        <v>3172</v>
      </c>
      <c r="B807" s="14" t="str">
        <f t="shared" si="4"/>
        <v>지도</v>
      </c>
      <c r="C807" s="12" t="s">
        <v>59</v>
      </c>
      <c r="D807" s="12" t="s">
        <v>3173</v>
      </c>
      <c r="E807" s="12">
        <v>21</v>
      </c>
      <c r="F807" s="12">
        <v>4000</v>
      </c>
      <c r="G807" s="12">
        <v>310</v>
      </c>
      <c r="H807" s="12">
        <v>7000</v>
      </c>
      <c r="I807" s="12">
        <v>30</v>
      </c>
      <c r="J807" s="12" t="s">
        <v>3174</v>
      </c>
    </row>
    <row r="808" spans="1:10" ht="26.4" customHeight="1">
      <c r="A808" s="12" t="s">
        <v>3175</v>
      </c>
      <c r="B808" s="14" t="str">
        <f t="shared" si="4"/>
        <v>지도</v>
      </c>
      <c r="C808" s="12" t="s">
        <v>59</v>
      </c>
      <c r="D808" s="12" t="s">
        <v>3176</v>
      </c>
      <c r="E808" s="12">
        <v>35</v>
      </c>
      <c r="F808" s="12">
        <v>10000</v>
      </c>
      <c r="G808" s="12">
        <v>470</v>
      </c>
      <c r="H808" s="12">
        <v>9000</v>
      </c>
      <c r="I808" s="12">
        <v>40</v>
      </c>
      <c r="J808" s="12" t="s">
        <v>3177</v>
      </c>
    </row>
    <row r="809" spans="1:10" ht="26.4" customHeight="1">
      <c r="A809" s="12" t="s">
        <v>3178</v>
      </c>
      <c r="B809" s="14" t="str">
        <f t="shared" si="4"/>
        <v>지도</v>
      </c>
      <c r="C809" s="12" t="s">
        <v>59</v>
      </c>
      <c r="D809" s="12" t="s">
        <v>3179</v>
      </c>
      <c r="E809" s="12">
        <v>25</v>
      </c>
      <c r="F809" s="12">
        <v>8000</v>
      </c>
      <c r="G809" s="12">
        <v>512</v>
      </c>
      <c r="H809" s="12">
        <v>9000</v>
      </c>
      <c r="I809" s="12">
        <v>85</v>
      </c>
      <c r="J809" s="12" t="s">
        <v>3180</v>
      </c>
    </row>
    <row r="810" spans="1:10" ht="26.4" customHeight="1">
      <c r="A810" s="12" t="s">
        <v>3181</v>
      </c>
      <c r="B810" s="14" t="str">
        <f t="shared" si="4"/>
        <v>지도</v>
      </c>
      <c r="C810" s="12" t="s">
        <v>59</v>
      </c>
      <c r="D810" s="12" t="s">
        <v>3182</v>
      </c>
      <c r="E810" s="12">
        <v>20.5</v>
      </c>
      <c r="F810" s="12">
        <v>4000</v>
      </c>
      <c r="G810" s="12">
        <v>800</v>
      </c>
      <c r="H810" s="12">
        <v>12000</v>
      </c>
      <c r="I810" s="12">
        <v>20</v>
      </c>
      <c r="J810" s="12" t="s">
        <v>3183</v>
      </c>
    </row>
    <row r="811" spans="1:10" ht="26.4" customHeight="1">
      <c r="A811" s="12" t="s">
        <v>3184</v>
      </c>
      <c r="B811" s="14" t="str">
        <f t="shared" si="4"/>
        <v>지도</v>
      </c>
      <c r="C811" s="12" t="s">
        <v>59</v>
      </c>
      <c r="D811" s="12" t="s">
        <v>3185</v>
      </c>
      <c r="E811" s="12">
        <v>25</v>
      </c>
      <c r="F811" s="12">
        <v>8000</v>
      </c>
      <c r="G811" s="12">
        <v>500</v>
      </c>
      <c r="H811" s="12">
        <v>8000</v>
      </c>
      <c r="I811" s="12">
        <v>50</v>
      </c>
      <c r="J811" s="12" t="s">
        <v>3186</v>
      </c>
    </row>
    <row r="812" spans="1:10" ht="26.4" customHeight="1">
      <c r="A812" s="12" t="s">
        <v>3187</v>
      </c>
      <c r="B812" s="14" t="str">
        <f t="shared" si="4"/>
        <v>지도</v>
      </c>
      <c r="C812" s="12" t="s">
        <v>59</v>
      </c>
      <c r="D812" s="12" t="s">
        <v>3188</v>
      </c>
      <c r="E812" s="12">
        <v>22</v>
      </c>
      <c r="F812" s="12">
        <v>3000</v>
      </c>
      <c r="G812" s="12">
        <v>250</v>
      </c>
      <c r="H812" s="12" t="s">
        <v>210</v>
      </c>
      <c r="I812" s="12">
        <v>25</v>
      </c>
      <c r="J812" s="12"/>
    </row>
    <row r="814" spans="1:10" ht="26.4" customHeight="1">
      <c r="A814" s="13" t="s">
        <v>0</v>
      </c>
      <c r="B814" s="13" t="s">
        <v>925</v>
      </c>
      <c r="C814" s="13" t="s">
        <v>1549</v>
      </c>
      <c r="D814" s="13" t="s">
        <v>1453</v>
      </c>
      <c r="E814" s="13" t="s">
        <v>3</v>
      </c>
      <c r="F814" s="13" t="s">
        <v>919</v>
      </c>
      <c r="G814" s="13" t="s">
        <v>1551</v>
      </c>
      <c r="H814" s="13" t="s">
        <v>921</v>
      </c>
      <c r="I814" s="13" t="s">
        <v>922</v>
      </c>
      <c r="J814" s="13" t="s">
        <v>8</v>
      </c>
    </row>
    <row r="815" spans="1:10" ht="26.4" customHeight="1">
      <c r="A815" s="12" t="s">
        <v>3189</v>
      </c>
      <c r="B815" s="14" t="str">
        <f t="shared" ref="B815:B824" si="5">HYPERLINK("https://map.naver.com/v5/search/" &amp; A815, "지도")</f>
        <v>지도</v>
      </c>
      <c r="C815" s="12" t="s">
        <v>59</v>
      </c>
      <c r="D815" s="12" t="s">
        <v>66</v>
      </c>
      <c r="E815" s="12">
        <v>50</v>
      </c>
      <c r="F815" s="12">
        <v>30000</v>
      </c>
      <c r="G815" s="12">
        <v>3000</v>
      </c>
      <c r="H815" s="12" t="s">
        <v>210</v>
      </c>
      <c r="I815" s="12" t="s">
        <v>3190</v>
      </c>
      <c r="J815" s="12" t="s">
        <v>3191</v>
      </c>
    </row>
    <row r="816" spans="1:10" ht="26.4" customHeight="1">
      <c r="A816" s="12" t="s">
        <v>3192</v>
      </c>
      <c r="B816" s="14" t="str">
        <f t="shared" si="5"/>
        <v>지도</v>
      </c>
      <c r="C816" s="12" t="s">
        <v>60</v>
      </c>
      <c r="D816" s="12" t="s">
        <v>3193</v>
      </c>
      <c r="E816" s="12">
        <v>40</v>
      </c>
      <c r="F816" s="12">
        <v>10000</v>
      </c>
      <c r="G816" s="12">
        <v>1160</v>
      </c>
      <c r="H816" s="12">
        <v>25000</v>
      </c>
      <c r="I816" s="12">
        <v>140</v>
      </c>
      <c r="J816" s="12" t="s">
        <v>3194</v>
      </c>
    </row>
    <row r="817" spans="1:10" ht="26.4" customHeight="1">
      <c r="A817" s="12" t="s">
        <v>3195</v>
      </c>
      <c r="B817" s="14" t="str">
        <f t="shared" si="5"/>
        <v>지도</v>
      </c>
      <c r="C817" s="12" t="s">
        <v>59</v>
      </c>
      <c r="D817" s="12" t="s">
        <v>66</v>
      </c>
      <c r="E817" s="12">
        <v>32</v>
      </c>
      <c r="F817" s="12">
        <v>22414</v>
      </c>
      <c r="G817" s="12">
        <v>2241</v>
      </c>
      <c r="H817" s="12" t="s">
        <v>210</v>
      </c>
      <c r="I817" s="12">
        <v>207</v>
      </c>
      <c r="J817" s="12" t="s">
        <v>3196</v>
      </c>
    </row>
    <row r="818" spans="1:10" ht="26.4" customHeight="1">
      <c r="A818" s="12" t="s">
        <v>3197</v>
      </c>
      <c r="B818" s="14" t="str">
        <f t="shared" si="5"/>
        <v>지도</v>
      </c>
      <c r="C818" s="12" t="s">
        <v>59</v>
      </c>
      <c r="D818" s="12" t="s">
        <v>3198</v>
      </c>
      <c r="E818" s="12">
        <v>54</v>
      </c>
      <c r="F818" s="12">
        <v>18000</v>
      </c>
      <c r="G818" s="12">
        <v>1300</v>
      </c>
      <c r="H818" s="12">
        <v>8000</v>
      </c>
      <c r="I818" s="12" t="s">
        <v>210</v>
      </c>
      <c r="J818" s="12" t="s">
        <v>3199</v>
      </c>
    </row>
    <row r="819" spans="1:10" ht="26.4" customHeight="1">
      <c r="A819" s="12" t="s">
        <v>3200</v>
      </c>
      <c r="B819" s="14" t="str">
        <f t="shared" si="5"/>
        <v>지도</v>
      </c>
      <c r="C819" s="12" t="s">
        <v>3082</v>
      </c>
      <c r="D819" s="12" t="s">
        <v>66</v>
      </c>
      <c r="E819" s="12">
        <v>35</v>
      </c>
      <c r="F819" s="12">
        <v>10000</v>
      </c>
      <c r="G819" s="12">
        <v>900</v>
      </c>
      <c r="H819" s="12" t="s">
        <v>210</v>
      </c>
      <c r="I819" s="12">
        <v>100</v>
      </c>
      <c r="J819" s="12" t="s">
        <v>3201</v>
      </c>
    </row>
    <row r="820" spans="1:10" ht="26.4" customHeight="1">
      <c r="A820" s="12" t="s">
        <v>3202</v>
      </c>
      <c r="B820" s="14" t="str">
        <f t="shared" si="5"/>
        <v>지도</v>
      </c>
      <c r="C820" s="12" t="s">
        <v>59</v>
      </c>
      <c r="D820" s="12" t="s">
        <v>3203</v>
      </c>
      <c r="E820" s="12">
        <v>39</v>
      </c>
      <c r="F820" s="12">
        <v>10000</v>
      </c>
      <c r="G820" s="12">
        <v>630</v>
      </c>
      <c r="H820" s="12">
        <v>15000</v>
      </c>
      <c r="I820" s="12" t="s">
        <v>210</v>
      </c>
      <c r="J820" s="12" t="s">
        <v>3204</v>
      </c>
    </row>
    <row r="821" spans="1:10" ht="26.4" customHeight="1">
      <c r="A821" s="12" t="s">
        <v>3205</v>
      </c>
      <c r="B821" s="14" t="str">
        <f t="shared" si="5"/>
        <v>지도</v>
      </c>
      <c r="C821" s="12" t="s">
        <v>59</v>
      </c>
      <c r="D821" s="12" t="s">
        <v>3206</v>
      </c>
      <c r="E821" s="12">
        <v>35</v>
      </c>
      <c r="F821" s="12">
        <v>10000</v>
      </c>
      <c r="G821" s="12">
        <v>730</v>
      </c>
      <c r="H821" s="12">
        <v>30000</v>
      </c>
      <c r="I821" s="12" t="s">
        <v>210</v>
      </c>
      <c r="J821" s="12" t="s">
        <v>3129</v>
      </c>
    </row>
    <row r="822" spans="1:10" ht="26.4" customHeight="1">
      <c r="A822" s="12" t="s">
        <v>3207</v>
      </c>
      <c r="B822" s="14" t="str">
        <f t="shared" si="5"/>
        <v>지도</v>
      </c>
      <c r="C822" s="12" t="s">
        <v>59</v>
      </c>
      <c r="D822" s="12" t="s">
        <v>3208</v>
      </c>
      <c r="E822" s="12">
        <v>25</v>
      </c>
      <c r="F822" s="12">
        <v>4000</v>
      </c>
      <c r="G822" s="12">
        <v>282</v>
      </c>
      <c r="H822" s="12">
        <v>8000</v>
      </c>
      <c r="I822" s="12" t="s">
        <v>210</v>
      </c>
      <c r="J822" s="12" t="s">
        <v>3209</v>
      </c>
    </row>
    <row r="823" spans="1:10" ht="26.4" customHeight="1">
      <c r="A823" s="12" t="s">
        <v>2612</v>
      </c>
      <c r="B823" s="14" t="str">
        <f t="shared" si="5"/>
        <v>지도</v>
      </c>
      <c r="C823" s="12" t="s">
        <v>59</v>
      </c>
      <c r="D823" s="12" t="s">
        <v>2613</v>
      </c>
      <c r="E823" s="12">
        <v>35</v>
      </c>
      <c r="F823" s="12">
        <v>20000</v>
      </c>
      <c r="G823" s="12">
        <v>1390</v>
      </c>
      <c r="H823" s="12">
        <v>3000</v>
      </c>
      <c r="I823" s="12">
        <v>100</v>
      </c>
      <c r="J823" s="12" t="s">
        <v>3210</v>
      </c>
    </row>
    <row r="824" spans="1:10" ht="26.4" customHeight="1">
      <c r="A824" s="12" t="s">
        <v>3211</v>
      </c>
      <c r="B824" s="14" t="str">
        <f t="shared" si="5"/>
        <v>지도</v>
      </c>
      <c r="C824" s="12" t="s">
        <v>59</v>
      </c>
      <c r="D824" s="12" t="s">
        <v>3212</v>
      </c>
      <c r="E824" s="12">
        <v>48</v>
      </c>
      <c r="F824" s="12">
        <v>10000</v>
      </c>
      <c r="G824" s="12">
        <v>690</v>
      </c>
      <c r="H824" s="12">
        <v>20000</v>
      </c>
      <c r="I824" s="12">
        <v>200</v>
      </c>
      <c r="J824" s="12" t="s">
        <v>3213</v>
      </c>
    </row>
    <row r="826" spans="1:10" ht="26.4" customHeight="1">
      <c r="A826" s="13" t="s">
        <v>0</v>
      </c>
      <c r="B826" s="13" t="s">
        <v>925</v>
      </c>
      <c r="C826" s="13" t="s">
        <v>1549</v>
      </c>
      <c r="D826" s="13" t="s">
        <v>1453</v>
      </c>
      <c r="E826" s="13" t="s">
        <v>3</v>
      </c>
      <c r="F826" s="13" t="s">
        <v>919</v>
      </c>
      <c r="G826" s="13" t="s">
        <v>1551</v>
      </c>
      <c r="H826" s="13" t="s">
        <v>921</v>
      </c>
      <c r="I826" s="13" t="s">
        <v>922</v>
      </c>
      <c r="J826" s="13" t="s">
        <v>8</v>
      </c>
    </row>
    <row r="827" spans="1:10" ht="26.4" customHeight="1">
      <c r="A827" s="12" t="s">
        <v>3214</v>
      </c>
      <c r="B827" s="14" t="str">
        <f t="shared" ref="B827:B838" si="6">HYPERLINK("https://map.naver.com/v5/search/" &amp; A827, "지도")</f>
        <v>지도</v>
      </c>
      <c r="C827" s="12" t="s">
        <v>59</v>
      </c>
      <c r="D827" s="12" t="s">
        <v>3215</v>
      </c>
      <c r="E827" s="12">
        <v>120</v>
      </c>
      <c r="F827" s="12">
        <v>13000</v>
      </c>
      <c r="G827" s="12">
        <v>1200</v>
      </c>
      <c r="H827" s="12">
        <v>5000</v>
      </c>
      <c r="I827" s="12" t="s">
        <v>210</v>
      </c>
      <c r="J827" s="12" t="s">
        <v>3216</v>
      </c>
    </row>
    <row r="828" spans="1:10" ht="26.4" customHeight="1">
      <c r="A828" s="12" t="s">
        <v>3217</v>
      </c>
      <c r="B828" s="14" t="str">
        <f t="shared" si="6"/>
        <v>지도</v>
      </c>
      <c r="C828" s="12" t="s">
        <v>59</v>
      </c>
      <c r="D828" s="12" t="s">
        <v>3218</v>
      </c>
      <c r="E828" s="12">
        <v>25</v>
      </c>
      <c r="F828" s="12">
        <v>8000</v>
      </c>
      <c r="G828" s="12">
        <v>480</v>
      </c>
      <c r="H828" s="12">
        <v>7000</v>
      </c>
      <c r="I828" s="12" t="s">
        <v>210</v>
      </c>
      <c r="J828" s="12"/>
    </row>
    <row r="829" spans="1:10" ht="26.4" customHeight="1">
      <c r="A829" s="12" t="s">
        <v>3219</v>
      </c>
      <c r="B829" s="14" t="str">
        <f t="shared" si="6"/>
        <v>지도</v>
      </c>
      <c r="C829" s="12" t="s">
        <v>59</v>
      </c>
      <c r="D829" s="12" t="s">
        <v>3220</v>
      </c>
      <c r="E829" s="12">
        <v>35</v>
      </c>
      <c r="F829" s="12">
        <v>5000</v>
      </c>
      <c r="G829" s="12">
        <v>370</v>
      </c>
      <c r="H829" s="12">
        <v>4000</v>
      </c>
      <c r="I829" s="12" t="s">
        <v>210</v>
      </c>
      <c r="J829" s="12"/>
    </row>
    <row r="830" spans="1:10" ht="26.4" customHeight="1">
      <c r="A830" s="12" t="s">
        <v>3221</v>
      </c>
      <c r="B830" s="14" t="str">
        <f t="shared" si="6"/>
        <v>지도</v>
      </c>
      <c r="C830" s="12" t="s">
        <v>59</v>
      </c>
      <c r="D830" s="12" t="s">
        <v>3222</v>
      </c>
      <c r="E830" s="12">
        <v>30</v>
      </c>
      <c r="F830" s="12">
        <v>15000</v>
      </c>
      <c r="G830" s="12">
        <v>700</v>
      </c>
      <c r="H830" s="12" t="s">
        <v>210</v>
      </c>
      <c r="I830" s="12" t="s">
        <v>210</v>
      </c>
      <c r="J830" s="12"/>
    </row>
    <row r="831" spans="1:10" ht="26.4" customHeight="1">
      <c r="A831" s="12" t="s">
        <v>3223</v>
      </c>
      <c r="B831" s="14" t="str">
        <f t="shared" si="6"/>
        <v>지도</v>
      </c>
      <c r="C831" s="12" t="s">
        <v>59</v>
      </c>
      <c r="D831" s="12" t="s">
        <v>3224</v>
      </c>
      <c r="E831" s="12">
        <v>39</v>
      </c>
      <c r="F831" s="12">
        <v>10000</v>
      </c>
      <c r="G831" s="12">
        <v>630</v>
      </c>
      <c r="H831" s="12">
        <v>15000</v>
      </c>
      <c r="I831" s="12" t="s">
        <v>210</v>
      </c>
      <c r="J831" s="12"/>
    </row>
    <row r="832" spans="1:10" ht="26.4" customHeight="1">
      <c r="A832" s="12" t="s">
        <v>3225</v>
      </c>
      <c r="B832" s="14" t="str">
        <f t="shared" si="6"/>
        <v>지도</v>
      </c>
      <c r="C832" s="12" t="s">
        <v>59</v>
      </c>
      <c r="D832" s="12" t="s">
        <v>3226</v>
      </c>
      <c r="E832" s="12">
        <v>35</v>
      </c>
      <c r="F832" s="12">
        <v>20000</v>
      </c>
      <c r="G832" s="12">
        <v>900</v>
      </c>
      <c r="H832" s="12">
        <v>40000</v>
      </c>
      <c r="I832" s="12" t="s">
        <v>210</v>
      </c>
      <c r="J832" s="12" t="s">
        <v>3227</v>
      </c>
    </row>
    <row r="833" spans="1:10" ht="26.4" customHeight="1">
      <c r="A833" s="12" t="s">
        <v>3228</v>
      </c>
      <c r="B833" s="14" t="str">
        <f t="shared" si="6"/>
        <v>지도</v>
      </c>
      <c r="C833" s="12" t="s">
        <v>60</v>
      </c>
      <c r="D833" s="12" t="s">
        <v>3229</v>
      </c>
      <c r="E833" s="12">
        <v>45</v>
      </c>
      <c r="F833" s="12">
        <v>8000</v>
      </c>
      <c r="G833" s="12">
        <v>550</v>
      </c>
      <c r="H833" s="12">
        <v>3000</v>
      </c>
      <c r="I833" s="12">
        <v>0</v>
      </c>
      <c r="J833" s="12" t="s">
        <v>3230</v>
      </c>
    </row>
    <row r="834" spans="1:10" ht="26.4" customHeight="1">
      <c r="A834" s="12" t="s">
        <v>3231</v>
      </c>
      <c r="B834" s="14" t="str">
        <f t="shared" si="6"/>
        <v>지도</v>
      </c>
      <c r="C834" s="12" t="s">
        <v>59</v>
      </c>
      <c r="D834" s="12" t="s">
        <v>3232</v>
      </c>
      <c r="E834" s="12">
        <v>55</v>
      </c>
      <c r="F834" s="12">
        <v>20000</v>
      </c>
      <c r="G834" s="12">
        <v>1000</v>
      </c>
      <c r="H834" s="12">
        <v>20000</v>
      </c>
      <c r="I834" s="12">
        <v>70</v>
      </c>
      <c r="J834" s="12" t="s">
        <v>3233</v>
      </c>
    </row>
    <row r="835" spans="1:10" ht="26.4" customHeight="1">
      <c r="A835" s="12" t="s">
        <v>3234</v>
      </c>
      <c r="B835" s="14" t="str">
        <f t="shared" si="6"/>
        <v>지도</v>
      </c>
      <c r="C835" s="12" t="s">
        <v>110</v>
      </c>
      <c r="D835" s="12" t="s">
        <v>3235</v>
      </c>
      <c r="E835" s="12">
        <v>87</v>
      </c>
      <c r="F835" s="12">
        <v>8000</v>
      </c>
      <c r="G835" s="12">
        <v>550</v>
      </c>
      <c r="H835" s="12">
        <v>10000</v>
      </c>
      <c r="I835" s="12" t="s">
        <v>210</v>
      </c>
      <c r="J835" s="12"/>
    </row>
    <row r="836" spans="1:10" ht="26.4" customHeight="1">
      <c r="A836" s="12" t="s">
        <v>3236</v>
      </c>
      <c r="B836" s="14" t="str">
        <f t="shared" si="6"/>
        <v>지도</v>
      </c>
      <c r="C836" s="12" t="s">
        <v>59</v>
      </c>
      <c r="D836" s="12" t="s">
        <v>3237</v>
      </c>
      <c r="E836" s="12">
        <v>21.5</v>
      </c>
      <c r="F836" s="12">
        <v>7000</v>
      </c>
      <c r="G836" s="12">
        <v>500</v>
      </c>
      <c r="H836" s="12" t="s">
        <v>210</v>
      </c>
      <c r="I836" s="12" t="s">
        <v>210</v>
      </c>
      <c r="J836" s="12"/>
    </row>
    <row r="837" spans="1:10" ht="26.4" customHeight="1">
      <c r="A837" s="12" t="s">
        <v>3238</v>
      </c>
      <c r="B837" s="14" t="str">
        <f t="shared" si="6"/>
        <v>지도</v>
      </c>
      <c r="C837" s="12" t="s">
        <v>59</v>
      </c>
      <c r="D837" s="12" t="s">
        <v>3239</v>
      </c>
      <c r="E837" s="12">
        <v>54</v>
      </c>
      <c r="F837" s="12">
        <v>16000</v>
      </c>
      <c r="G837" s="12">
        <v>850</v>
      </c>
      <c r="H837" s="12">
        <v>10000</v>
      </c>
      <c r="I837" s="12" t="s">
        <v>210</v>
      </c>
      <c r="J837" s="12" t="s">
        <v>2008</v>
      </c>
    </row>
    <row r="838" spans="1:10" ht="26.4" customHeight="1">
      <c r="A838" s="12" t="s">
        <v>3240</v>
      </c>
      <c r="B838" s="14" t="str">
        <f t="shared" si="6"/>
        <v>지도</v>
      </c>
      <c r="C838" s="12" t="s">
        <v>59</v>
      </c>
      <c r="D838" s="12" t="s">
        <v>1565</v>
      </c>
      <c r="E838" s="12">
        <v>24</v>
      </c>
      <c r="F838" s="12">
        <v>10000</v>
      </c>
      <c r="G838" s="12">
        <v>420</v>
      </c>
      <c r="H838" s="12">
        <v>10000</v>
      </c>
      <c r="I838" s="12" t="s">
        <v>210</v>
      </c>
      <c r="J838" s="12" t="s">
        <v>1987</v>
      </c>
    </row>
    <row r="840" spans="1:10" ht="26.4" customHeight="1">
      <c r="A840" s="13" t="s">
        <v>0</v>
      </c>
      <c r="B840" s="13" t="s">
        <v>925</v>
      </c>
      <c r="C840" s="13" t="s">
        <v>1549</v>
      </c>
      <c r="D840" s="13" t="s">
        <v>1453</v>
      </c>
      <c r="E840" s="13" t="s">
        <v>3</v>
      </c>
      <c r="F840" s="13" t="s">
        <v>919</v>
      </c>
      <c r="G840" s="13" t="s">
        <v>1551</v>
      </c>
      <c r="H840" s="13" t="s">
        <v>921</v>
      </c>
      <c r="I840" s="13" t="s">
        <v>922</v>
      </c>
      <c r="J840" s="13" t="s">
        <v>8</v>
      </c>
    </row>
    <row r="841" spans="1:10" ht="26.4" customHeight="1">
      <c r="A841" s="12" t="s">
        <v>3241</v>
      </c>
      <c r="B841" s="14" t="str">
        <f t="shared" ref="B841:B852" si="7">HYPERLINK("https://map.naver.com/v5/search/" &amp; A841, "지도")</f>
        <v>지도</v>
      </c>
      <c r="C841" s="12" t="s">
        <v>59</v>
      </c>
      <c r="D841" s="12" t="s">
        <v>3242</v>
      </c>
      <c r="E841" s="12">
        <v>17</v>
      </c>
      <c r="F841" s="12">
        <v>5000</v>
      </c>
      <c r="G841" s="12">
        <v>300</v>
      </c>
      <c r="H841" s="12" t="s">
        <v>210</v>
      </c>
      <c r="I841" s="12" t="s">
        <v>210</v>
      </c>
      <c r="J841" s="12" t="s">
        <v>3243</v>
      </c>
    </row>
    <row r="842" spans="1:10" ht="26.4" customHeight="1">
      <c r="A842" s="12" t="s">
        <v>3241</v>
      </c>
      <c r="B842" s="14" t="str">
        <f t="shared" si="7"/>
        <v>지도</v>
      </c>
      <c r="C842" s="12" t="s">
        <v>59</v>
      </c>
      <c r="D842" s="12" t="s">
        <v>3242</v>
      </c>
      <c r="E842" s="12">
        <v>15</v>
      </c>
      <c r="F842" s="12">
        <v>3000</v>
      </c>
      <c r="G842" s="12">
        <v>250</v>
      </c>
      <c r="H842" s="12" t="s">
        <v>210</v>
      </c>
      <c r="I842" s="12" t="s">
        <v>210</v>
      </c>
      <c r="J842" s="12" t="s">
        <v>3244</v>
      </c>
    </row>
    <row r="843" spans="1:10" ht="26.4" customHeight="1">
      <c r="A843" s="12" t="s">
        <v>3245</v>
      </c>
      <c r="B843" s="14" t="str">
        <f t="shared" si="7"/>
        <v>지도</v>
      </c>
      <c r="C843" s="12" t="s">
        <v>59</v>
      </c>
      <c r="D843" s="12" t="s">
        <v>3246</v>
      </c>
      <c r="E843" s="12">
        <v>120</v>
      </c>
      <c r="F843" s="12">
        <v>4000</v>
      </c>
      <c r="G843" s="12">
        <v>500</v>
      </c>
      <c r="H843" s="12" t="s">
        <v>210</v>
      </c>
      <c r="I843" s="12">
        <v>52</v>
      </c>
      <c r="J843" s="12" t="s">
        <v>3247</v>
      </c>
    </row>
    <row r="844" spans="1:10" ht="26.4" customHeight="1">
      <c r="A844" s="12" t="s">
        <v>3248</v>
      </c>
      <c r="B844" s="14" t="str">
        <f t="shared" si="7"/>
        <v>지도</v>
      </c>
      <c r="C844" s="12" t="s">
        <v>59</v>
      </c>
      <c r="D844" s="12" t="s">
        <v>66</v>
      </c>
      <c r="E844" s="12">
        <v>55</v>
      </c>
      <c r="F844" s="12">
        <v>3000</v>
      </c>
      <c r="G844" s="12">
        <v>400</v>
      </c>
      <c r="H844" s="12" t="s">
        <v>210</v>
      </c>
      <c r="I844" s="12" t="s">
        <v>210</v>
      </c>
      <c r="J844" s="12" t="s">
        <v>3249</v>
      </c>
    </row>
    <row r="845" spans="1:10" ht="26.4" customHeight="1">
      <c r="A845" s="12" t="s">
        <v>3250</v>
      </c>
      <c r="B845" s="14" t="str">
        <f t="shared" si="7"/>
        <v>지도</v>
      </c>
      <c r="C845" s="12" t="s">
        <v>59</v>
      </c>
      <c r="D845" s="12" t="s">
        <v>66</v>
      </c>
      <c r="E845" s="12">
        <v>89</v>
      </c>
      <c r="F845" s="12">
        <v>30000</v>
      </c>
      <c r="G845" s="12">
        <v>1300</v>
      </c>
      <c r="H845" s="12" t="s">
        <v>210</v>
      </c>
      <c r="I845" s="12" t="s">
        <v>210</v>
      </c>
      <c r="J845" s="12"/>
    </row>
    <row r="846" spans="1:10" ht="26.4" customHeight="1">
      <c r="A846" s="12" t="s">
        <v>3251</v>
      </c>
      <c r="B846" s="14" t="str">
        <f t="shared" si="7"/>
        <v>지도</v>
      </c>
      <c r="C846" s="12" t="s">
        <v>59</v>
      </c>
      <c r="D846" s="12" t="s">
        <v>3252</v>
      </c>
      <c r="E846" s="12">
        <v>60</v>
      </c>
      <c r="F846" s="12">
        <v>5000</v>
      </c>
      <c r="G846" s="12">
        <v>490</v>
      </c>
      <c r="H846" s="12">
        <v>8000</v>
      </c>
      <c r="I846" s="12" t="s">
        <v>210</v>
      </c>
      <c r="J846" s="12"/>
    </row>
    <row r="847" spans="1:10" ht="26.4" customHeight="1">
      <c r="A847" s="12" t="s">
        <v>3253</v>
      </c>
      <c r="B847" s="14" t="str">
        <f t="shared" si="7"/>
        <v>지도</v>
      </c>
      <c r="C847" s="12" t="s">
        <v>59</v>
      </c>
      <c r="D847" s="12" t="s">
        <v>3254</v>
      </c>
      <c r="E847" s="12">
        <v>25</v>
      </c>
      <c r="F847" s="12">
        <v>7000</v>
      </c>
      <c r="G847" s="12">
        <v>480</v>
      </c>
      <c r="H847" s="12">
        <v>8000</v>
      </c>
      <c r="I847" s="12" t="s">
        <v>210</v>
      </c>
      <c r="J847" s="12"/>
    </row>
    <row r="848" spans="1:10" ht="26.4" customHeight="1">
      <c r="A848" s="12" t="s">
        <v>3255</v>
      </c>
      <c r="B848" s="14" t="str">
        <f t="shared" si="7"/>
        <v>지도</v>
      </c>
      <c r="C848" s="12" t="s">
        <v>59</v>
      </c>
      <c r="D848" s="12" t="s">
        <v>3256</v>
      </c>
      <c r="E848" s="12">
        <v>28</v>
      </c>
      <c r="F848" s="12">
        <v>5000</v>
      </c>
      <c r="G848" s="12">
        <v>600</v>
      </c>
      <c r="H848" s="12">
        <v>1000</v>
      </c>
      <c r="I848" s="12" t="s">
        <v>210</v>
      </c>
      <c r="J848" s="12"/>
    </row>
    <row r="849" spans="1:10" ht="26.4" customHeight="1">
      <c r="A849" s="12" t="s">
        <v>3257</v>
      </c>
      <c r="B849" s="14" t="str">
        <f t="shared" si="7"/>
        <v>지도</v>
      </c>
      <c r="C849" s="12" t="s">
        <v>59</v>
      </c>
      <c r="D849" s="12" t="s">
        <v>3258</v>
      </c>
      <c r="E849" s="12">
        <v>32.700000000000003</v>
      </c>
      <c r="F849" s="12">
        <v>10000</v>
      </c>
      <c r="G849" s="12">
        <v>545</v>
      </c>
      <c r="H849" s="12">
        <v>13000</v>
      </c>
      <c r="I849" s="12" t="s">
        <v>210</v>
      </c>
      <c r="J849" s="12" t="s">
        <v>2010</v>
      </c>
    </row>
    <row r="850" spans="1:10" ht="26.4" customHeight="1">
      <c r="A850" s="12" t="s">
        <v>3259</v>
      </c>
      <c r="B850" s="14" t="str">
        <f t="shared" si="7"/>
        <v>지도</v>
      </c>
      <c r="C850" s="12" t="s">
        <v>59</v>
      </c>
      <c r="D850" s="12" t="s">
        <v>3260</v>
      </c>
      <c r="E850" s="12">
        <v>27</v>
      </c>
      <c r="F850" s="12">
        <v>10000</v>
      </c>
      <c r="G850" s="12">
        <v>470</v>
      </c>
      <c r="H850" s="12">
        <v>5000</v>
      </c>
      <c r="I850" s="12" t="s">
        <v>210</v>
      </c>
      <c r="J850" s="12"/>
    </row>
    <row r="851" spans="1:10" ht="26.4" customHeight="1">
      <c r="A851" s="12" t="s">
        <v>3259</v>
      </c>
      <c r="B851" s="14" t="str">
        <f t="shared" si="7"/>
        <v>지도</v>
      </c>
      <c r="C851" s="12" t="s">
        <v>59</v>
      </c>
      <c r="D851" s="12" t="s">
        <v>3261</v>
      </c>
      <c r="E851" s="12">
        <v>14.5</v>
      </c>
      <c r="F851" s="12">
        <v>3000</v>
      </c>
      <c r="G851" s="12">
        <v>220</v>
      </c>
      <c r="H851" s="12" t="s">
        <v>210</v>
      </c>
      <c r="I851" s="12" t="s">
        <v>210</v>
      </c>
      <c r="J851" s="12"/>
    </row>
    <row r="852" spans="1:10" ht="26.4" customHeight="1">
      <c r="A852" s="12" t="s">
        <v>3262</v>
      </c>
      <c r="B852" s="14" t="str">
        <f t="shared" si="7"/>
        <v>지도</v>
      </c>
      <c r="C852" s="12" t="s">
        <v>59</v>
      </c>
      <c r="D852" s="12" t="s">
        <v>3263</v>
      </c>
      <c r="E852" s="12">
        <v>32</v>
      </c>
      <c r="F852" s="12">
        <v>10000</v>
      </c>
      <c r="G852" s="12">
        <v>700</v>
      </c>
      <c r="H852" s="12" t="s">
        <v>210</v>
      </c>
      <c r="I852" s="12">
        <v>25</v>
      </c>
      <c r="J852" s="12"/>
    </row>
    <row r="854" spans="1:10" ht="26.4" customHeight="1">
      <c r="A854" s="13" t="s">
        <v>0</v>
      </c>
      <c r="B854" s="13" t="s">
        <v>925</v>
      </c>
      <c r="C854" s="13" t="s">
        <v>1549</v>
      </c>
      <c r="D854" s="13" t="s">
        <v>1453</v>
      </c>
      <c r="E854" s="13" t="s">
        <v>3</v>
      </c>
      <c r="F854" s="13" t="s">
        <v>919</v>
      </c>
      <c r="G854" s="13" t="s">
        <v>1551</v>
      </c>
      <c r="H854" s="13" t="s">
        <v>921</v>
      </c>
      <c r="I854" s="13" t="s">
        <v>922</v>
      </c>
      <c r="J854" s="13" t="s">
        <v>8</v>
      </c>
    </row>
    <row r="855" spans="1:10" ht="26.4" customHeight="1">
      <c r="A855" s="12" t="s">
        <v>3264</v>
      </c>
      <c r="B855" s="14" t="str">
        <f t="shared" ref="B855:B867" si="8">HYPERLINK("https://map.naver.com/v5/search/" &amp; A855, "지도")</f>
        <v>지도</v>
      </c>
      <c r="C855" s="12" t="s">
        <v>59</v>
      </c>
      <c r="D855" s="12" t="s">
        <v>3265</v>
      </c>
      <c r="E855" s="12">
        <v>27</v>
      </c>
      <c r="F855" s="12">
        <v>7000</v>
      </c>
      <c r="G855" s="12">
        <v>400</v>
      </c>
      <c r="H855" s="12">
        <v>30000</v>
      </c>
      <c r="I855" s="12" t="s">
        <v>210</v>
      </c>
      <c r="J855" s="12" t="s">
        <v>3266</v>
      </c>
    </row>
    <row r="856" spans="1:10" ht="26.4" customHeight="1">
      <c r="A856" s="12" t="s">
        <v>3264</v>
      </c>
      <c r="B856" s="14" t="str">
        <f t="shared" si="8"/>
        <v>지도</v>
      </c>
      <c r="C856" s="12" t="s">
        <v>59</v>
      </c>
      <c r="D856" s="12" t="s">
        <v>3267</v>
      </c>
      <c r="E856" s="12">
        <v>38</v>
      </c>
      <c r="F856" s="12">
        <v>9000</v>
      </c>
      <c r="G856" s="12">
        <v>570</v>
      </c>
      <c r="H856" s="12">
        <v>40000</v>
      </c>
      <c r="I856" s="12" t="s">
        <v>210</v>
      </c>
      <c r="J856" s="12" t="s">
        <v>3129</v>
      </c>
    </row>
    <row r="857" spans="1:10" ht="26.4" customHeight="1">
      <c r="A857" s="12" t="s">
        <v>3268</v>
      </c>
      <c r="B857" s="14" t="str">
        <f t="shared" si="8"/>
        <v>지도</v>
      </c>
      <c r="C857" s="12" t="s">
        <v>59</v>
      </c>
      <c r="D857" s="12" t="s">
        <v>3269</v>
      </c>
      <c r="E857" s="12">
        <v>43.5</v>
      </c>
      <c r="F857" s="12">
        <v>7500</v>
      </c>
      <c r="G857" s="12">
        <v>600</v>
      </c>
      <c r="H857" s="12">
        <v>20000</v>
      </c>
      <c r="I857" s="12" t="s">
        <v>210</v>
      </c>
      <c r="J857" s="12"/>
    </row>
    <row r="858" spans="1:10" ht="26.4" customHeight="1">
      <c r="A858" s="12" t="s">
        <v>3270</v>
      </c>
      <c r="B858" s="14" t="str">
        <f t="shared" si="8"/>
        <v>지도</v>
      </c>
      <c r="C858" s="12" t="s">
        <v>59</v>
      </c>
      <c r="D858" s="12" t="s">
        <v>3271</v>
      </c>
      <c r="E858" s="12">
        <v>34</v>
      </c>
      <c r="F858" s="12">
        <v>4000</v>
      </c>
      <c r="G858" s="12">
        <v>275</v>
      </c>
      <c r="H858" s="12">
        <v>11000</v>
      </c>
      <c r="I858" s="12" t="s">
        <v>210</v>
      </c>
      <c r="J858" s="12"/>
    </row>
    <row r="859" spans="1:10" ht="26.4" customHeight="1">
      <c r="A859" s="12" t="s">
        <v>3268</v>
      </c>
      <c r="B859" s="14" t="str">
        <f t="shared" si="8"/>
        <v>지도</v>
      </c>
      <c r="C859" s="12" t="s">
        <v>59</v>
      </c>
      <c r="D859" s="12" t="s">
        <v>3272</v>
      </c>
      <c r="E859" s="12">
        <v>43.5</v>
      </c>
      <c r="F859" s="12">
        <v>4000</v>
      </c>
      <c r="G859" s="12">
        <v>320</v>
      </c>
      <c r="H859" s="12">
        <v>20000</v>
      </c>
      <c r="I859" s="12" t="s">
        <v>210</v>
      </c>
      <c r="J859" s="12"/>
    </row>
    <row r="860" spans="1:10" ht="26.4" customHeight="1">
      <c r="A860" s="12" t="s">
        <v>3273</v>
      </c>
      <c r="B860" s="14" t="str">
        <f t="shared" si="8"/>
        <v>지도</v>
      </c>
      <c r="C860" s="12" t="s">
        <v>59</v>
      </c>
      <c r="D860" s="12" t="s">
        <v>3274</v>
      </c>
      <c r="E860" s="12">
        <v>47</v>
      </c>
      <c r="F860" s="12">
        <v>4000</v>
      </c>
      <c r="G860" s="12">
        <v>390</v>
      </c>
      <c r="H860" s="12">
        <v>5000</v>
      </c>
      <c r="I860" s="12" t="s">
        <v>210</v>
      </c>
      <c r="J860" s="12"/>
    </row>
    <row r="861" spans="1:10" ht="26.4" customHeight="1">
      <c r="A861" s="12" t="s">
        <v>3275</v>
      </c>
      <c r="B861" s="14" t="str">
        <f t="shared" si="8"/>
        <v>지도</v>
      </c>
      <c r="C861" s="12" t="s">
        <v>59</v>
      </c>
      <c r="D861" s="12" t="s">
        <v>3276</v>
      </c>
      <c r="E861" s="12">
        <v>30</v>
      </c>
      <c r="F861" s="12">
        <v>4000</v>
      </c>
      <c r="G861" s="12">
        <v>300</v>
      </c>
      <c r="H861" s="12">
        <v>8000</v>
      </c>
      <c r="I861" s="12" t="s">
        <v>210</v>
      </c>
      <c r="J861" s="12"/>
    </row>
    <row r="862" spans="1:10" ht="26.4" customHeight="1">
      <c r="A862" s="12" t="s">
        <v>3277</v>
      </c>
      <c r="B862" s="14" t="str">
        <f t="shared" si="8"/>
        <v>지도</v>
      </c>
      <c r="C862" s="12" t="s">
        <v>59</v>
      </c>
      <c r="D862" s="12" t="s">
        <v>3278</v>
      </c>
      <c r="E862" s="12">
        <v>57.6</v>
      </c>
      <c r="F862" s="12">
        <v>9000</v>
      </c>
      <c r="G862" s="12">
        <v>535</v>
      </c>
      <c r="H862" s="12">
        <v>18000</v>
      </c>
      <c r="I862" s="12">
        <v>55</v>
      </c>
      <c r="J862" s="12"/>
    </row>
    <row r="863" spans="1:10" ht="26.4" customHeight="1">
      <c r="A863" s="12" t="s">
        <v>3279</v>
      </c>
      <c r="B863" s="14" t="str">
        <f t="shared" si="8"/>
        <v>지도</v>
      </c>
      <c r="C863" s="12" t="s">
        <v>59</v>
      </c>
      <c r="D863" s="12" t="s">
        <v>3280</v>
      </c>
      <c r="E863" s="12">
        <v>27</v>
      </c>
      <c r="F863" s="12">
        <v>10000</v>
      </c>
      <c r="G863" s="12">
        <v>450</v>
      </c>
      <c r="H863" s="12">
        <v>3000</v>
      </c>
      <c r="I863" s="12">
        <v>25</v>
      </c>
      <c r="J863" s="12" t="s">
        <v>2016</v>
      </c>
    </row>
    <row r="864" spans="1:10" ht="26.4" customHeight="1">
      <c r="A864" s="12" t="s">
        <v>3281</v>
      </c>
      <c r="B864" s="14" t="str">
        <f t="shared" si="8"/>
        <v>지도</v>
      </c>
      <c r="C864" s="12" t="s">
        <v>59</v>
      </c>
      <c r="D864" s="12" t="s">
        <v>3282</v>
      </c>
      <c r="E864" s="12">
        <v>17.600000000000001</v>
      </c>
      <c r="F864" s="12">
        <v>5000</v>
      </c>
      <c r="G864" s="12">
        <v>290</v>
      </c>
      <c r="H864" s="12">
        <v>8000</v>
      </c>
      <c r="I864" s="12" t="s">
        <v>210</v>
      </c>
      <c r="J864" s="12"/>
    </row>
    <row r="865" spans="1:10" ht="26.4" customHeight="1">
      <c r="A865" s="12" t="s">
        <v>3283</v>
      </c>
      <c r="B865" s="14" t="str">
        <f t="shared" si="8"/>
        <v>지도</v>
      </c>
      <c r="C865" s="12" t="s">
        <v>59</v>
      </c>
      <c r="D865" s="12" t="s">
        <v>3284</v>
      </c>
      <c r="E865" s="12">
        <v>24</v>
      </c>
      <c r="F865" s="12">
        <v>2000</v>
      </c>
      <c r="G865" s="12">
        <v>180</v>
      </c>
      <c r="H865" s="12">
        <v>5000</v>
      </c>
      <c r="I865" s="12" t="s">
        <v>210</v>
      </c>
      <c r="J865" s="12"/>
    </row>
    <row r="866" spans="1:10" ht="26.4" customHeight="1">
      <c r="A866" s="12" t="s">
        <v>3285</v>
      </c>
      <c r="B866" s="14" t="str">
        <f t="shared" si="8"/>
        <v>지도</v>
      </c>
      <c r="C866" s="12" t="s">
        <v>59</v>
      </c>
      <c r="D866" s="12" t="s">
        <v>3286</v>
      </c>
      <c r="E866" s="12">
        <v>28</v>
      </c>
      <c r="F866" s="12">
        <v>3000</v>
      </c>
      <c r="G866" s="12">
        <v>290</v>
      </c>
      <c r="H866" s="12">
        <v>6000</v>
      </c>
      <c r="I866" s="12" t="s">
        <v>210</v>
      </c>
      <c r="J866" s="12"/>
    </row>
    <row r="867" spans="1:10" ht="26.4" customHeight="1">
      <c r="A867" s="12" t="s">
        <v>3285</v>
      </c>
      <c r="B867" s="14" t="str">
        <f t="shared" si="8"/>
        <v>지도</v>
      </c>
      <c r="C867" s="12" t="s">
        <v>59</v>
      </c>
      <c r="D867" s="12" t="s">
        <v>3287</v>
      </c>
      <c r="E867" s="12">
        <v>28</v>
      </c>
      <c r="F867" s="12">
        <v>3000</v>
      </c>
      <c r="G867" s="12">
        <v>300</v>
      </c>
      <c r="H867" s="12">
        <v>6000</v>
      </c>
      <c r="I867" s="12" t="s">
        <v>210</v>
      </c>
      <c r="J867" s="12"/>
    </row>
    <row r="869" spans="1:10" ht="26.4" customHeight="1">
      <c r="A869" s="13" t="s">
        <v>0</v>
      </c>
      <c r="B869" s="13" t="s">
        <v>925</v>
      </c>
      <c r="C869" s="13" t="s">
        <v>1549</v>
      </c>
      <c r="D869" s="13" t="s">
        <v>1453</v>
      </c>
      <c r="E869" s="13" t="s">
        <v>3</v>
      </c>
      <c r="F869" s="13" t="s">
        <v>919</v>
      </c>
      <c r="G869" s="13" t="s">
        <v>1551</v>
      </c>
      <c r="H869" s="13" t="s">
        <v>921</v>
      </c>
      <c r="I869" s="13" t="s">
        <v>922</v>
      </c>
      <c r="J869" s="13" t="s">
        <v>8</v>
      </c>
    </row>
    <row r="870" spans="1:10" ht="26.4" customHeight="1">
      <c r="A870" s="12" t="s">
        <v>3288</v>
      </c>
      <c r="B870" s="14" t="str">
        <f t="shared" ref="B870:B878" si="9">HYPERLINK("https://map.naver.com/v5/search/" &amp; A870, "지도")</f>
        <v>지도</v>
      </c>
      <c r="C870" s="12" t="s">
        <v>59</v>
      </c>
      <c r="D870" s="12" t="s">
        <v>3289</v>
      </c>
      <c r="E870" s="12">
        <v>46.32</v>
      </c>
      <c r="F870" s="12">
        <v>10000</v>
      </c>
      <c r="G870" s="12">
        <v>500</v>
      </c>
      <c r="H870" s="12">
        <v>12000</v>
      </c>
      <c r="I870" s="12" t="s">
        <v>210</v>
      </c>
      <c r="J870" s="12" t="s">
        <v>3290</v>
      </c>
    </row>
    <row r="871" spans="1:10" ht="26.4" customHeight="1">
      <c r="A871" s="12" t="s">
        <v>3291</v>
      </c>
      <c r="B871" s="14" t="str">
        <f t="shared" si="9"/>
        <v>지도</v>
      </c>
      <c r="C871" s="12" t="s">
        <v>59</v>
      </c>
      <c r="D871" s="12" t="s">
        <v>1627</v>
      </c>
      <c r="E871" s="12">
        <v>37.86</v>
      </c>
      <c r="F871" s="12">
        <v>10000</v>
      </c>
      <c r="G871" s="12">
        <v>650</v>
      </c>
      <c r="H871" s="12">
        <v>6000</v>
      </c>
      <c r="I871" s="12" t="s">
        <v>210</v>
      </c>
      <c r="J871" s="12" t="s">
        <v>3292</v>
      </c>
    </row>
    <row r="872" spans="1:10" ht="26.4" customHeight="1">
      <c r="A872" s="12" t="s">
        <v>3293</v>
      </c>
      <c r="B872" s="14" t="str">
        <f t="shared" si="9"/>
        <v>지도</v>
      </c>
      <c r="C872" s="12" t="s">
        <v>59</v>
      </c>
      <c r="D872" s="12" t="s">
        <v>66</v>
      </c>
      <c r="E872" s="12">
        <v>18.600000000000001</v>
      </c>
      <c r="F872" s="12">
        <v>12000</v>
      </c>
      <c r="G872" s="12">
        <v>400</v>
      </c>
      <c r="H872" s="12" t="s">
        <v>210</v>
      </c>
      <c r="I872" s="12" t="s">
        <v>210</v>
      </c>
      <c r="J872" s="12" t="s">
        <v>3292</v>
      </c>
    </row>
    <row r="873" spans="1:10" ht="26.4" customHeight="1">
      <c r="A873" s="12" t="s">
        <v>3294</v>
      </c>
      <c r="B873" s="14" t="str">
        <f t="shared" si="9"/>
        <v>지도</v>
      </c>
      <c r="C873" s="12" t="s">
        <v>59</v>
      </c>
      <c r="D873" s="12" t="s">
        <v>3295</v>
      </c>
      <c r="E873" s="12">
        <v>19.5</v>
      </c>
      <c r="F873" s="12">
        <v>10000</v>
      </c>
      <c r="G873" s="12">
        <v>600</v>
      </c>
      <c r="H873" s="12" t="s">
        <v>210</v>
      </c>
      <c r="I873" s="12" t="s">
        <v>210</v>
      </c>
      <c r="J873" s="12" t="s">
        <v>3296</v>
      </c>
    </row>
    <row r="874" spans="1:10" ht="26.4" customHeight="1">
      <c r="A874" s="12" t="s">
        <v>3297</v>
      </c>
      <c r="B874" s="14" t="str">
        <f t="shared" si="9"/>
        <v>지도</v>
      </c>
      <c r="C874" s="12" t="s">
        <v>59</v>
      </c>
      <c r="D874" s="12" t="s">
        <v>1581</v>
      </c>
      <c r="E874" s="12">
        <v>41</v>
      </c>
      <c r="F874" s="12">
        <v>10000</v>
      </c>
      <c r="G874" s="12">
        <v>900</v>
      </c>
      <c r="H874" s="12">
        <v>20000</v>
      </c>
      <c r="I874" s="12" t="s">
        <v>210</v>
      </c>
      <c r="J874" s="12" t="s">
        <v>3129</v>
      </c>
    </row>
    <row r="875" spans="1:10" ht="26.4" customHeight="1">
      <c r="A875" s="12" t="s">
        <v>3298</v>
      </c>
      <c r="B875" s="14" t="str">
        <f t="shared" si="9"/>
        <v>지도</v>
      </c>
      <c r="C875" s="12" t="s">
        <v>59</v>
      </c>
      <c r="D875" s="12" t="s">
        <v>3299</v>
      </c>
      <c r="E875" s="12">
        <v>17.5</v>
      </c>
      <c r="F875" s="12">
        <v>4000</v>
      </c>
      <c r="G875" s="12">
        <v>270</v>
      </c>
      <c r="H875" s="12" t="s">
        <v>210</v>
      </c>
      <c r="I875" s="12" t="s">
        <v>210</v>
      </c>
      <c r="J875" s="12"/>
    </row>
    <row r="876" spans="1:10" ht="26.4" customHeight="1">
      <c r="A876" s="12" t="s">
        <v>3300</v>
      </c>
      <c r="B876" s="14" t="str">
        <f t="shared" si="9"/>
        <v>지도</v>
      </c>
      <c r="C876" s="12" t="s">
        <v>59</v>
      </c>
      <c r="D876" s="12" t="s">
        <v>3301</v>
      </c>
      <c r="E876" s="12">
        <v>22.5</v>
      </c>
      <c r="F876" s="12">
        <v>3500</v>
      </c>
      <c r="G876" s="12">
        <v>350</v>
      </c>
      <c r="H876" s="12">
        <v>3500</v>
      </c>
      <c r="I876" s="12" t="s">
        <v>210</v>
      </c>
      <c r="J876" s="12"/>
    </row>
    <row r="877" spans="1:10" ht="26.4" customHeight="1">
      <c r="A877" s="12" t="s">
        <v>3300</v>
      </c>
      <c r="B877" s="14" t="str">
        <f t="shared" si="9"/>
        <v>지도</v>
      </c>
      <c r="C877" s="12" t="s">
        <v>59</v>
      </c>
      <c r="D877" s="12" t="s">
        <v>66</v>
      </c>
      <c r="E877" s="12">
        <v>10.5</v>
      </c>
      <c r="F877" s="12">
        <v>3000</v>
      </c>
      <c r="G877" s="12">
        <v>150</v>
      </c>
      <c r="H877" s="12" t="s">
        <v>210</v>
      </c>
      <c r="I877" s="12" t="s">
        <v>210</v>
      </c>
      <c r="J877" s="12"/>
    </row>
    <row r="878" spans="1:10" ht="26.4" customHeight="1">
      <c r="A878" s="12" t="s">
        <v>3302</v>
      </c>
      <c r="B878" s="14" t="str">
        <f t="shared" si="9"/>
        <v>지도</v>
      </c>
      <c r="C878" s="12" t="s">
        <v>2244</v>
      </c>
      <c r="D878" s="12" t="s">
        <v>3303</v>
      </c>
      <c r="E878" s="12">
        <v>228</v>
      </c>
      <c r="F878" s="12">
        <v>40000</v>
      </c>
      <c r="G878" s="12">
        <v>2000</v>
      </c>
      <c r="H878" s="12" t="s">
        <v>210</v>
      </c>
      <c r="I878" s="12" t="s">
        <v>210</v>
      </c>
      <c r="J878" s="12" t="s">
        <v>3304</v>
      </c>
    </row>
    <row r="880" spans="1:10" ht="26.4" customHeight="1">
      <c r="A880" s="13" t="s">
        <v>0</v>
      </c>
      <c r="B880" s="13" t="s">
        <v>925</v>
      </c>
      <c r="C880" s="13" t="s">
        <v>2</v>
      </c>
      <c r="D880" s="13" t="s">
        <v>1453</v>
      </c>
      <c r="E880" s="13" t="s">
        <v>3</v>
      </c>
      <c r="F880" s="13" t="s">
        <v>919</v>
      </c>
      <c r="G880" s="13" t="s">
        <v>920</v>
      </c>
      <c r="H880" s="13" t="s">
        <v>921</v>
      </c>
      <c r="I880" s="13" t="s">
        <v>922</v>
      </c>
      <c r="J880" s="13" t="s">
        <v>8</v>
      </c>
    </row>
    <row r="881" spans="1:10" ht="26.4" customHeight="1">
      <c r="A881" s="12" t="s">
        <v>3305</v>
      </c>
      <c r="B881" s="14" t="str">
        <f t="shared" ref="B881:B892" si="10">HYPERLINK("https://map.naver.com/v5/search/" &amp; A881, "지도")</f>
        <v>지도</v>
      </c>
      <c r="C881" s="12" t="s">
        <v>60</v>
      </c>
      <c r="D881" s="12" t="s">
        <v>3306</v>
      </c>
      <c r="E881" s="12">
        <v>58</v>
      </c>
      <c r="F881" s="12">
        <v>5000</v>
      </c>
      <c r="G881" s="12">
        <v>240</v>
      </c>
      <c r="H881" s="12">
        <v>9000</v>
      </c>
      <c r="I881" s="12"/>
      <c r="J881" s="12" t="s">
        <v>3307</v>
      </c>
    </row>
    <row r="882" spans="1:10" ht="26.4" customHeight="1">
      <c r="A882" s="12" t="s">
        <v>3308</v>
      </c>
      <c r="B882" s="14" t="str">
        <f t="shared" si="10"/>
        <v>지도</v>
      </c>
      <c r="C882" s="12" t="s">
        <v>59</v>
      </c>
      <c r="D882" s="12" t="s">
        <v>3309</v>
      </c>
      <c r="E882" s="12">
        <v>40</v>
      </c>
      <c r="F882" s="12">
        <v>2000</v>
      </c>
      <c r="G882" s="12">
        <v>240</v>
      </c>
      <c r="H882" s="12">
        <v>9000</v>
      </c>
      <c r="I882" s="12"/>
      <c r="J882" s="12"/>
    </row>
    <row r="883" spans="1:10" ht="26.4" customHeight="1">
      <c r="A883" s="12" t="s">
        <v>3310</v>
      </c>
      <c r="B883" s="14" t="str">
        <f t="shared" si="10"/>
        <v>지도</v>
      </c>
      <c r="C883" s="12" t="s">
        <v>60</v>
      </c>
      <c r="D883" s="12" t="s">
        <v>66</v>
      </c>
      <c r="E883" s="12">
        <v>60</v>
      </c>
      <c r="F883" s="12">
        <v>3000</v>
      </c>
      <c r="G883" s="12">
        <v>250</v>
      </c>
      <c r="H883" s="12">
        <v>0</v>
      </c>
      <c r="I883" s="12"/>
      <c r="J883" s="12" t="s">
        <v>3311</v>
      </c>
    </row>
    <row r="884" spans="1:10" ht="26.4" customHeight="1">
      <c r="A884" s="12" t="s">
        <v>3045</v>
      </c>
      <c r="B884" s="14" t="str">
        <f t="shared" si="10"/>
        <v>지도</v>
      </c>
      <c r="C884" s="12" t="s">
        <v>60</v>
      </c>
      <c r="D884" s="12" t="s">
        <v>3312</v>
      </c>
      <c r="E884" s="12">
        <v>21</v>
      </c>
      <c r="F884" s="12">
        <v>5000</v>
      </c>
      <c r="G884" s="12">
        <v>280</v>
      </c>
      <c r="H884" s="12">
        <v>15000</v>
      </c>
      <c r="I884" s="12">
        <v>30</v>
      </c>
      <c r="J884" s="12"/>
    </row>
    <row r="885" spans="1:10" ht="26.4" customHeight="1">
      <c r="A885" s="12" t="s">
        <v>3313</v>
      </c>
      <c r="B885" s="14" t="str">
        <f t="shared" si="10"/>
        <v>지도</v>
      </c>
      <c r="C885" s="12" t="s">
        <v>60</v>
      </c>
      <c r="D885" s="12" t="s">
        <v>66</v>
      </c>
      <c r="E885" s="12">
        <v>46.09</v>
      </c>
      <c r="F885" s="12">
        <v>5000</v>
      </c>
      <c r="G885" s="12">
        <v>330</v>
      </c>
      <c r="H885" s="12">
        <v>0</v>
      </c>
      <c r="I885" s="12"/>
      <c r="J885" s="12"/>
    </row>
    <row r="886" spans="1:10" ht="26.4" customHeight="1">
      <c r="A886" s="12" t="s">
        <v>3314</v>
      </c>
      <c r="B886" s="14" t="str">
        <f t="shared" si="10"/>
        <v>지도</v>
      </c>
      <c r="C886" s="12" t="s">
        <v>60</v>
      </c>
      <c r="D886" s="12" t="s">
        <v>3315</v>
      </c>
      <c r="E886" s="12">
        <v>60</v>
      </c>
      <c r="F886" s="12">
        <v>6000</v>
      </c>
      <c r="G886" s="12">
        <v>300</v>
      </c>
      <c r="H886" s="12">
        <v>0</v>
      </c>
      <c r="I886" s="12"/>
      <c r="J886" s="12"/>
    </row>
    <row r="887" spans="1:10" ht="26.4" customHeight="1">
      <c r="A887" s="12" t="s">
        <v>3316</v>
      </c>
      <c r="B887" s="14" t="str">
        <f t="shared" si="10"/>
        <v>지도</v>
      </c>
      <c r="C887" s="12" t="s">
        <v>60</v>
      </c>
      <c r="D887" s="12" t="s">
        <v>3317</v>
      </c>
      <c r="E887" s="12">
        <v>100</v>
      </c>
      <c r="F887" s="12">
        <v>10000</v>
      </c>
      <c r="G887" s="12">
        <v>700</v>
      </c>
      <c r="H887" s="12">
        <v>2000</v>
      </c>
      <c r="I887" s="12"/>
      <c r="J887" s="12" t="s">
        <v>3318</v>
      </c>
    </row>
    <row r="888" spans="1:10" ht="26.4" customHeight="1">
      <c r="A888" s="12" t="s">
        <v>3319</v>
      </c>
      <c r="B888" s="14" t="str">
        <f t="shared" si="10"/>
        <v>지도</v>
      </c>
      <c r="C888" s="12" t="s">
        <v>60</v>
      </c>
      <c r="D888" s="12" t="s">
        <v>66</v>
      </c>
      <c r="E888" s="12">
        <v>60</v>
      </c>
      <c r="F888" s="12">
        <v>5000</v>
      </c>
      <c r="G888" s="12">
        <v>150</v>
      </c>
      <c r="H888" s="12">
        <v>0</v>
      </c>
      <c r="I888" s="12"/>
      <c r="J888" s="12" t="s">
        <v>3320</v>
      </c>
    </row>
    <row r="889" spans="1:10" ht="26.4" customHeight="1">
      <c r="A889" s="12" t="s">
        <v>3321</v>
      </c>
      <c r="B889" s="14" t="str">
        <f t="shared" si="10"/>
        <v>지도</v>
      </c>
      <c r="C889" s="12" t="s">
        <v>59</v>
      </c>
      <c r="D889" s="12" t="s">
        <v>66</v>
      </c>
      <c r="E889" s="12">
        <v>23.44</v>
      </c>
      <c r="F889" s="12">
        <v>3000</v>
      </c>
      <c r="G889" s="12">
        <v>230</v>
      </c>
      <c r="H889" s="12">
        <v>0</v>
      </c>
      <c r="I889" s="12"/>
      <c r="J889" s="12" t="s">
        <v>3322</v>
      </c>
    </row>
    <row r="890" spans="1:10" ht="26.4" customHeight="1">
      <c r="A890" s="12" t="s">
        <v>3323</v>
      </c>
      <c r="B890" s="14" t="str">
        <f t="shared" si="10"/>
        <v>지도</v>
      </c>
      <c r="C890" s="12" t="s">
        <v>59</v>
      </c>
      <c r="D890" s="12" t="s">
        <v>66</v>
      </c>
      <c r="E890" s="12">
        <v>36</v>
      </c>
      <c r="F890" s="12">
        <v>4500</v>
      </c>
      <c r="G890" s="12">
        <v>360</v>
      </c>
      <c r="H890" s="12">
        <v>0</v>
      </c>
      <c r="I890" s="12"/>
      <c r="J890" s="12" t="s">
        <v>3324</v>
      </c>
    </row>
    <row r="891" spans="1:10" ht="26.4" customHeight="1">
      <c r="A891" s="12" t="s">
        <v>673</v>
      </c>
      <c r="B891" s="14" t="str">
        <f t="shared" si="10"/>
        <v>지도</v>
      </c>
      <c r="C891" s="12" t="s">
        <v>59</v>
      </c>
      <c r="D891" s="12" t="s">
        <v>66</v>
      </c>
      <c r="E891" s="12">
        <v>40</v>
      </c>
      <c r="F891" s="12">
        <v>4000</v>
      </c>
      <c r="G891" s="12">
        <v>300</v>
      </c>
      <c r="H891" s="12">
        <v>0</v>
      </c>
      <c r="I891" s="12"/>
      <c r="J891" s="12" t="s">
        <v>3325</v>
      </c>
    </row>
    <row r="892" spans="1:10" ht="26.4" customHeight="1">
      <c r="A892" s="12" t="s">
        <v>3326</v>
      </c>
      <c r="B892" s="14" t="str">
        <f t="shared" si="10"/>
        <v>지도</v>
      </c>
      <c r="C892" s="12" t="s">
        <v>59</v>
      </c>
      <c r="D892" s="12" t="s">
        <v>3327</v>
      </c>
      <c r="E892" s="12">
        <v>70</v>
      </c>
      <c r="F892" s="12">
        <v>20000</v>
      </c>
      <c r="G892" s="12">
        <v>1500</v>
      </c>
      <c r="H892" s="12">
        <v>2000</v>
      </c>
      <c r="I892" s="12">
        <v>100</v>
      </c>
      <c r="J892" s="12"/>
    </row>
    <row r="894" spans="1:10" ht="26.4" customHeight="1">
      <c r="A894" s="13" t="s">
        <v>0</v>
      </c>
      <c r="B894" s="13" t="s">
        <v>925</v>
      </c>
      <c r="C894" s="13" t="s">
        <v>2</v>
      </c>
      <c r="D894" s="13" t="s">
        <v>1453</v>
      </c>
      <c r="E894" s="13" t="s">
        <v>3</v>
      </c>
      <c r="F894" s="13" t="s">
        <v>919</v>
      </c>
      <c r="G894" s="13" t="s">
        <v>920</v>
      </c>
      <c r="H894" s="13" t="s">
        <v>921</v>
      </c>
      <c r="I894" s="13" t="s">
        <v>922</v>
      </c>
      <c r="J894" s="13" t="s">
        <v>8</v>
      </c>
    </row>
    <row r="895" spans="1:10" ht="26.4" customHeight="1">
      <c r="A895" s="12" t="s">
        <v>3328</v>
      </c>
      <c r="B895" s="14" t="str">
        <f t="shared" ref="B895:B915" si="11">HYPERLINK("https://map.naver.com/v5/search/" &amp; A895, "지도")</f>
        <v>지도</v>
      </c>
      <c r="C895" s="12" t="s">
        <v>59</v>
      </c>
      <c r="D895" s="12" t="s">
        <v>3329</v>
      </c>
      <c r="E895" s="12">
        <v>40</v>
      </c>
      <c r="F895" s="12">
        <v>5000</v>
      </c>
      <c r="G895" s="12">
        <v>520</v>
      </c>
      <c r="H895" s="12">
        <v>0</v>
      </c>
      <c r="I895" s="12" t="s">
        <v>1729</v>
      </c>
      <c r="J895" s="12" t="s">
        <v>3330</v>
      </c>
    </row>
    <row r="896" spans="1:10" ht="26.4" customHeight="1">
      <c r="A896" s="12" t="s">
        <v>3331</v>
      </c>
      <c r="B896" s="14" t="str">
        <f t="shared" si="11"/>
        <v>지도</v>
      </c>
      <c r="C896" s="12" t="s">
        <v>59</v>
      </c>
      <c r="D896" s="12" t="s">
        <v>3332</v>
      </c>
      <c r="E896" s="12">
        <v>42</v>
      </c>
      <c r="F896" s="12">
        <v>10000</v>
      </c>
      <c r="G896" s="12">
        <v>1100</v>
      </c>
      <c r="H896" s="12">
        <v>25000</v>
      </c>
      <c r="I896" s="12">
        <v>70</v>
      </c>
      <c r="J896" s="12" t="s">
        <v>1486</v>
      </c>
    </row>
    <row r="897" spans="1:10" ht="26.4" customHeight="1">
      <c r="A897" s="12" t="s">
        <v>3333</v>
      </c>
      <c r="B897" s="14" t="str">
        <f t="shared" si="11"/>
        <v>지도</v>
      </c>
      <c r="C897" s="12" t="s">
        <v>59</v>
      </c>
      <c r="D897" s="12" t="s">
        <v>66</v>
      </c>
      <c r="E897" s="12">
        <v>88</v>
      </c>
      <c r="F897" s="12">
        <v>12000</v>
      </c>
      <c r="G897" s="12">
        <v>750</v>
      </c>
      <c r="H897" s="12">
        <v>0</v>
      </c>
      <c r="I897" s="12"/>
      <c r="J897" s="12" t="s">
        <v>3334</v>
      </c>
    </row>
    <row r="898" spans="1:10" ht="26.4" customHeight="1">
      <c r="A898" s="12" t="s">
        <v>3335</v>
      </c>
      <c r="B898" s="14" t="str">
        <f t="shared" si="11"/>
        <v>지도</v>
      </c>
      <c r="C898" s="12" t="s">
        <v>59</v>
      </c>
      <c r="D898" s="12" t="s">
        <v>3336</v>
      </c>
      <c r="E898" s="12">
        <v>34</v>
      </c>
      <c r="F898" s="12">
        <v>14000</v>
      </c>
      <c r="G898" s="12">
        <v>880</v>
      </c>
      <c r="H898" s="12">
        <v>5000</v>
      </c>
      <c r="I898" s="12">
        <v>0</v>
      </c>
      <c r="J898" s="12"/>
    </row>
    <row r="899" spans="1:10" ht="26.4" customHeight="1">
      <c r="A899" s="12" t="s">
        <v>3337</v>
      </c>
      <c r="B899" s="14" t="str">
        <f t="shared" si="11"/>
        <v>지도</v>
      </c>
      <c r="C899" s="12" t="s">
        <v>60</v>
      </c>
      <c r="D899" s="12" t="s">
        <v>1724</v>
      </c>
      <c r="E899" s="12">
        <v>32</v>
      </c>
      <c r="F899" s="12">
        <v>2000</v>
      </c>
      <c r="G899" s="12">
        <v>150</v>
      </c>
      <c r="H899" s="12">
        <v>0</v>
      </c>
      <c r="I899" s="12"/>
      <c r="J899" s="12"/>
    </row>
    <row r="900" spans="1:10" ht="26.4" customHeight="1">
      <c r="A900" s="12" t="s">
        <v>3338</v>
      </c>
      <c r="B900" s="14" t="str">
        <f t="shared" si="11"/>
        <v>지도</v>
      </c>
      <c r="C900" s="12" t="s">
        <v>59</v>
      </c>
      <c r="D900" s="12" t="s">
        <v>3339</v>
      </c>
      <c r="E900" s="12">
        <v>73</v>
      </c>
      <c r="F900" s="12">
        <v>5000</v>
      </c>
      <c r="G900" s="12">
        <v>580</v>
      </c>
      <c r="H900" s="12">
        <v>6000</v>
      </c>
      <c r="I900" s="12"/>
      <c r="J900" s="12"/>
    </row>
    <row r="901" spans="1:10" ht="26.4" customHeight="1">
      <c r="A901" s="12" t="s">
        <v>3340</v>
      </c>
      <c r="B901" s="14" t="str">
        <f t="shared" si="11"/>
        <v>지도</v>
      </c>
      <c r="C901" s="12" t="s">
        <v>59</v>
      </c>
      <c r="D901" s="12" t="s">
        <v>3341</v>
      </c>
      <c r="E901" s="12">
        <v>55</v>
      </c>
      <c r="F901" s="12">
        <v>30000</v>
      </c>
      <c r="G901" s="12">
        <v>1800</v>
      </c>
      <c r="H901" s="12">
        <v>0</v>
      </c>
      <c r="I901" s="12"/>
      <c r="J901" s="12"/>
    </row>
    <row r="902" spans="1:10" ht="26.4" customHeight="1">
      <c r="A902" s="12" t="s">
        <v>3342</v>
      </c>
      <c r="B902" s="14" t="str">
        <f t="shared" si="11"/>
        <v>지도</v>
      </c>
      <c r="C902" s="12" t="s">
        <v>60</v>
      </c>
      <c r="D902" s="12" t="s">
        <v>3343</v>
      </c>
      <c r="E902" s="12">
        <v>60</v>
      </c>
      <c r="F902" s="12">
        <v>13000</v>
      </c>
      <c r="G902" s="12">
        <v>1170</v>
      </c>
      <c r="H902" s="12">
        <v>20000</v>
      </c>
      <c r="I902" s="12"/>
      <c r="J902" s="12"/>
    </row>
    <row r="903" spans="1:10" ht="26.4" customHeight="1">
      <c r="A903" s="12" t="s">
        <v>3344</v>
      </c>
      <c r="B903" s="14" t="str">
        <f t="shared" si="11"/>
        <v>지도</v>
      </c>
      <c r="C903" s="12" t="s">
        <v>59</v>
      </c>
      <c r="D903" s="12" t="s">
        <v>66</v>
      </c>
      <c r="E903" s="12">
        <v>62.92</v>
      </c>
      <c r="F903" s="12">
        <v>6000</v>
      </c>
      <c r="G903" s="12">
        <v>450</v>
      </c>
      <c r="H903" s="12">
        <v>0</v>
      </c>
      <c r="I903" s="12">
        <v>100</v>
      </c>
      <c r="J903" s="12" t="s">
        <v>3345</v>
      </c>
    </row>
    <row r="904" spans="1:10" ht="26.4" customHeight="1">
      <c r="A904" s="12" t="s">
        <v>3346</v>
      </c>
      <c r="B904" s="14" t="str">
        <f t="shared" si="11"/>
        <v>지도</v>
      </c>
      <c r="C904" s="12" t="s">
        <v>59</v>
      </c>
      <c r="D904" s="12" t="s">
        <v>3347</v>
      </c>
      <c r="E904" s="12">
        <v>65</v>
      </c>
      <c r="F904" s="12">
        <v>2000</v>
      </c>
      <c r="G904" s="12">
        <v>230</v>
      </c>
      <c r="H904" s="12">
        <v>9000</v>
      </c>
      <c r="I904" s="12"/>
      <c r="J904" s="12"/>
    </row>
    <row r="905" spans="1:10" ht="26.4" customHeight="1">
      <c r="A905" s="12" t="s">
        <v>3348</v>
      </c>
      <c r="B905" s="14" t="str">
        <f t="shared" si="11"/>
        <v>지도</v>
      </c>
      <c r="C905" s="12" t="s">
        <v>59</v>
      </c>
      <c r="D905" s="12" t="s">
        <v>66</v>
      </c>
      <c r="E905" s="12">
        <v>60</v>
      </c>
      <c r="F905" s="12">
        <v>5000</v>
      </c>
      <c r="G905" s="12">
        <v>500</v>
      </c>
      <c r="H905" s="12">
        <v>0</v>
      </c>
      <c r="I905" s="12"/>
      <c r="J905" s="12"/>
    </row>
    <row r="906" spans="1:10" ht="26.4" customHeight="1">
      <c r="A906" s="12" t="s">
        <v>3349</v>
      </c>
      <c r="B906" s="14" t="str">
        <f t="shared" si="11"/>
        <v>지도</v>
      </c>
      <c r="C906" s="12" t="s">
        <v>59</v>
      </c>
      <c r="D906" s="12" t="s">
        <v>3350</v>
      </c>
      <c r="E906" s="12">
        <v>57</v>
      </c>
      <c r="F906" s="12">
        <v>3000</v>
      </c>
      <c r="G906" s="12">
        <v>180</v>
      </c>
      <c r="H906" s="12">
        <v>4000</v>
      </c>
      <c r="I906" s="12"/>
      <c r="J906" s="12"/>
    </row>
    <row r="907" spans="1:10" ht="26.4" customHeight="1">
      <c r="A907" s="12" t="s">
        <v>3351</v>
      </c>
      <c r="B907" s="14" t="str">
        <f t="shared" si="11"/>
        <v>지도</v>
      </c>
      <c r="C907" s="12" t="s">
        <v>59</v>
      </c>
      <c r="D907" s="12" t="s">
        <v>3352</v>
      </c>
      <c r="E907" s="12">
        <v>25</v>
      </c>
      <c r="F907" s="12">
        <v>5000</v>
      </c>
      <c r="G907" s="12">
        <v>410</v>
      </c>
      <c r="H907" s="12">
        <v>12000</v>
      </c>
      <c r="I907" s="12">
        <v>5</v>
      </c>
      <c r="J907" s="12"/>
    </row>
    <row r="908" spans="1:10" ht="26.4" customHeight="1">
      <c r="A908" s="12" t="s">
        <v>3353</v>
      </c>
      <c r="B908" s="14" t="str">
        <f t="shared" si="11"/>
        <v>지도</v>
      </c>
      <c r="C908" s="12" t="s">
        <v>3354</v>
      </c>
      <c r="D908" s="12" t="s">
        <v>3355</v>
      </c>
      <c r="E908" s="12">
        <v>44</v>
      </c>
      <c r="F908" s="12">
        <v>5000</v>
      </c>
      <c r="G908" s="12">
        <v>570</v>
      </c>
      <c r="H908" s="12">
        <v>6000</v>
      </c>
      <c r="I908" s="12">
        <v>25</v>
      </c>
      <c r="J908" s="12"/>
    </row>
    <row r="909" spans="1:10" ht="26.4" customHeight="1">
      <c r="A909" s="12" t="s">
        <v>3356</v>
      </c>
      <c r="B909" s="14" t="str">
        <f t="shared" si="11"/>
        <v>지도</v>
      </c>
      <c r="C909" s="12" t="s">
        <v>3354</v>
      </c>
      <c r="D909" s="12" t="s">
        <v>3355</v>
      </c>
      <c r="E909" s="12">
        <v>41</v>
      </c>
      <c r="F909" s="12">
        <v>10000</v>
      </c>
      <c r="G909" s="12">
        <v>620</v>
      </c>
      <c r="H909" s="12">
        <v>0</v>
      </c>
      <c r="I909" s="12">
        <v>0</v>
      </c>
      <c r="J909" s="12"/>
    </row>
    <row r="910" spans="1:10" ht="26.4" customHeight="1">
      <c r="A910" s="12" t="s">
        <v>3357</v>
      </c>
      <c r="B910" s="14" t="str">
        <f t="shared" si="11"/>
        <v>지도</v>
      </c>
      <c r="C910" s="12" t="s">
        <v>59</v>
      </c>
      <c r="D910" s="12" t="s">
        <v>3358</v>
      </c>
      <c r="E910" s="12">
        <v>35</v>
      </c>
      <c r="F910" s="12">
        <v>10000</v>
      </c>
      <c r="G910" s="12">
        <v>800</v>
      </c>
      <c r="H910" s="12">
        <v>18000</v>
      </c>
      <c r="I910" s="12">
        <v>80</v>
      </c>
      <c r="J910" s="12"/>
    </row>
    <row r="911" spans="1:10" ht="26.4" customHeight="1">
      <c r="A911" s="12" t="s">
        <v>3359</v>
      </c>
      <c r="B911" s="14" t="str">
        <f t="shared" si="11"/>
        <v>지도</v>
      </c>
      <c r="C911" s="12" t="s">
        <v>59</v>
      </c>
      <c r="D911" s="12" t="s">
        <v>3360</v>
      </c>
      <c r="E911" s="12">
        <v>11</v>
      </c>
      <c r="F911" s="12">
        <v>5000</v>
      </c>
      <c r="G911" s="12">
        <v>275</v>
      </c>
      <c r="H911" s="12">
        <v>5000</v>
      </c>
      <c r="I911" s="12">
        <v>20</v>
      </c>
      <c r="J911" s="12"/>
    </row>
    <row r="912" spans="1:10" ht="26.4" customHeight="1">
      <c r="A912" s="12" t="s">
        <v>3361</v>
      </c>
      <c r="B912" s="14" t="str">
        <f t="shared" si="11"/>
        <v>지도</v>
      </c>
      <c r="C912" s="12" t="s">
        <v>59</v>
      </c>
      <c r="D912" s="12" t="s">
        <v>3362</v>
      </c>
      <c r="E912" s="12">
        <v>15</v>
      </c>
      <c r="F912" s="12">
        <v>5000</v>
      </c>
      <c r="G912" s="12">
        <v>340</v>
      </c>
      <c r="H912" s="12">
        <v>15000</v>
      </c>
      <c r="I912" s="12">
        <v>0</v>
      </c>
      <c r="J912" s="12"/>
    </row>
    <row r="913" spans="1:10" ht="26.4" customHeight="1">
      <c r="A913" s="12" t="s">
        <v>3363</v>
      </c>
      <c r="B913" s="14" t="str">
        <f t="shared" si="11"/>
        <v>지도</v>
      </c>
      <c r="C913" s="12" t="s">
        <v>59</v>
      </c>
      <c r="D913" s="12" t="s">
        <v>3364</v>
      </c>
      <c r="E913" s="12">
        <v>42</v>
      </c>
      <c r="F913" s="12">
        <v>18500</v>
      </c>
      <c r="G913" s="12">
        <v>1200</v>
      </c>
      <c r="H913" s="12">
        <v>25000</v>
      </c>
      <c r="I913" s="12">
        <v>100</v>
      </c>
      <c r="J913" s="12"/>
    </row>
    <row r="914" spans="1:10" ht="26.4" customHeight="1">
      <c r="A914" s="12" t="s">
        <v>3365</v>
      </c>
      <c r="B914" s="14" t="str">
        <f t="shared" si="11"/>
        <v>지도</v>
      </c>
      <c r="C914" s="12" t="s">
        <v>59</v>
      </c>
      <c r="D914" s="12" t="s">
        <v>66</v>
      </c>
      <c r="E914" s="12">
        <v>60</v>
      </c>
      <c r="F914" s="12">
        <v>16000</v>
      </c>
      <c r="G914" s="12">
        <v>1100</v>
      </c>
      <c r="H914" s="12">
        <v>0</v>
      </c>
      <c r="I914" s="12">
        <v>300</v>
      </c>
      <c r="J914" s="12" t="s">
        <v>3366</v>
      </c>
    </row>
    <row r="915" spans="1:10" ht="26.4" customHeight="1">
      <c r="A915" s="12" t="s">
        <v>3367</v>
      </c>
      <c r="B915" s="14" t="str">
        <f t="shared" si="11"/>
        <v>지도</v>
      </c>
      <c r="C915" s="12" t="s">
        <v>59</v>
      </c>
      <c r="D915" s="12" t="s">
        <v>3368</v>
      </c>
      <c r="E915" s="12">
        <v>53</v>
      </c>
      <c r="F915" s="12">
        <v>13000</v>
      </c>
      <c r="G915" s="12">
        <v>1300</v>
      </c>
      <c r="H915" s="12">
        <v>21000</v>
      </c>
      <c r="I915" s="12">
        <v>110</v>
      </c>
      <c r="J915" s="12" t="s">
        <v>3369</v>
      </c>
    </row>
    <row r="917" spans="1:10" ht="26.4" customHeight="1">
      <c r="A917" s="13" t="s">
        <v>0</v>
      </c>
      <c r="B917" s="13" t="s">
        <v>925</v>
      </c>
      <c r="C917" s="13" t="s">
        <v>2</v>
      </c>
      <c r="D917" s="13" t="s">
        <v>1453</v>
      </c>
      <c r="E917" s="13" t="s">
        <v>3</v>
      </c>
      <c r="F917" s="13" t="s">
        <v>919</v>
      </c>
      <c r="G917" s="13" t="s">
        <v>920</v>
      </c>
      <c r="H917" s="13" t="s">
        <v>921</v>
      </c>
      <c r="I917" s="13" t="s">
        <v>922</v>
      </c>
      <c r="J917" s="13" t="s">
        <v>8</v>
      </c>
    </row>
    <row r="918" spans="1:10" ht="26.4" customHeight="1">
      <c r="A918" s="12" t="s">
        <v>3370</v>
      </c>
      <c r="B918" s="14" t="str">
        <f t="shared" ref="B918:B944" si="12">HYPERLINK("https://map.naver.com/v5/search/" &amp; A918, "지도")</f>
        <v>지도</v>
      </c>
      <c r="C918" s="12" t="s">
        <v>59</v>
      </c>
      <c r="D918" s="12" t="s">
        <v>66</v>
      </c>
      <c r="E918" s="12">
        <v>80</v>
      </c>
      <c r="F918" s="12">
        <v>15000</v>
      </c>
      <c r="G918" s="12">
        <v>1000</v>
      </c>
      <c r="H918" s="12">
        <v>0</v>
      </c>
      <c r="I918" s="12">
        <v>42</v>
      </c>
      <c r="J918" s="12"/>
    </row>
    <row r="919" spans="1:10" ht="26.4" customHeight="1">
      <c r="A919" s="12" t="s">
        <v>3370</v>
      </c>
      <c r="B919" s="14" t="str">
        <f t="shared" si="12"/>
        <v>지도</v>
      </c>
      <c r="C919" s="12" t="s">
        <v>59</v>
      </c>
      <c r="D919" s="12" t="s">
        <v>66</v>
      </c>
      <c r="E919" s="12">
        <v>40</v>
      </c>
      <c r="F919" s="12">
        <v>8000</v>
      </c>
      <c r="G919" s="12">
        <v>600</v>
      </c>
      <c r="H919" s="12">
        <v>0</v>
      </c>
      <c r="I919" s="12">
        <v>22</v>
      </c>
      <c r="J919" s="12"/>
    </row>
    <row r="920" spans="1:10" ht="26.4" customHeight="1">
      <c r="A920" s="12" t="s">
        <v>3371</v>
      </c>
      <c r="B920" s="14" t="str">
        <f t="shared" si="12"/>
        <v>지도</v>
      </c>
      <c r="C920" s="12" t="s">
        <v>59</v>
      </c>
      <c r="D920" s="12" t="s">
        <v>3372</v>
      </c>
      <c r="E920" s="12">
        <v>26</v>
      </c>
      <c r="F920" s="12">
        <v>5000</v>
      </c>
      <c r="G920" s="12">
        <v>390</v>
      </c>
      <c r="H920" s="12">
        <v>17000</v>
      </c>
      <c r="I920" s="12">
        <v>50</v>
      </c>
      <c r="J920" s="12"/>
    </row>
    <row r="921" spans="1:10" ht="26.4" customHeight="1">
      <c r="A921" s="12" t="s">
        <v>3373</v>
      </c>
      <c r="B921" s="14" t="str">
        <f t="shared" si="12"/>
        <v>지도</v>
      </c>
      <c r="C921" s="12" t="s">
        <v>59</v>
      </c>
      <c r="D921" s="12" t="s">
        <v>3374</v>
      </c>
      <c r="E921" s="12">
        <v>12</v>
      </c>
      <c r="F921" s="12">
        <v>6000</v>
      </c>
      <c r="G921" s="12">
        <v>400</v>
      </c>
      <c r="H921" s="12">
        <v>5000</v>
      </c>
      <c r="I921" s="12">
        <v>50</v>
      </c>
      <c r="J921" s="12"/>
    </row>
    <row r="922" spans="1:10" ht="26.4" customHeight="1">
      <c r="A922" s="12" t="s">
        <v>3375</v>
      </c>
      <c r="B922" s="14" t="str">
        <f t="shared" si="12"/>
        <v>지도</v>
      </c>
      <c r="C922" s="12" t="s">
        <v>59</v>
      </c>
      <c r="D922" s="12" t="s">
        <v>3376</v>
      </c>
      <c r="E922" s="12">
        <v>51</v>
      </c>
      <c r="F922" s="12">
        <v>11500</v>
      </c>
      <c r="G922" s="12">
        <v>977</v>
      </c>
      <c r="H922" s="12">
        <v>23000</v>
      </c>
      <c r="I922" s="12">
        <v>0</v>
      </c>
      <c r="J922" s="12"/>
    </row>
    <row r="923" spans="1:10" ht="26.4" customHeight="1">
      <c r="A923" s="12" t="s">
        <v>3377</v>
      </c>
      <c r="B923" s="14" t="str">
        <f t="shared" si="12"/>
        <v>지도</v>
      </c>
      <c r="C923" s="12" t="s">
        <v>59</v>
      </c>
      <c r="D923" s="12" t="s">
        <v>3378</v>
      </c>
      <c r="E923" s="12">
        <v>28</v>
      </c>
      <c r="F923" s="12">
        <v>10000</v>
      </c>
      <c r="G923" s="12">
        <v>770</v>
      </c>
      <c r="H923" s="12">
        <v>30000</v>
      </c>
      <c r="I923" s="12">
        <v>50</v>
      </c>
      <c r="J923" s="12"/>
    </row>
    <row r="924" spans="1:10" ht="26.4" customHeight="1">
      <c r="A924" s="12" t="s">
        <v>1615</v>
      </c>
      <c r="B924" s="14" t="str">
        <f t="shared" si="12"/>
        <v>지도</v>
      </c>
      <c r="C924" s="12" t="s">
        <v>59</v>
      </c>
      <c r="D924" s="12" t="s">
        <v>66</v>
      </c>
      <c r="E924" s="12">
        <v>7</v>
      </c>
      <c r="F924" s="12">
        <v>10000</v>
      </c>
      <c r="G924" s="12">
        <v>500</v>
      </c>
      <c r="H924" s="12">
        <v>0</v>
      </c>
      <c r="I924" s="12">
        <v>5</v>
      </c>
      <c r="J924" s="12"/>
    </row>
    <row r="925" spans="1:10" ht="26.4" customHeight="1">
      <c r="A925" s="12" t="s">
        <v>1615</v>
      </c>
      <c r="B925" s="14" t="str">
        <f t="shared" si="12"/>
        <v>지도</v>
      </c>
      <c r="C925" s="12" t="s">
        <v>59</v>
      </c>
      <c r="D925" s="12" t="s">
        <v>66</v>
      </c>
      <c r="E925" s="12">
        <v>9</v>
      </c>
      <c r="F925" s="12">
        <v>7000</v>
      </c>
      <c r="G925" s="12">
        <v>430</v>
      </c>
      <c r="H925" s="12">
        <v>10000</v>
      </c>
      <c r="I925" s="12">
        <v>20</v>
      </c>
      <c r="J925" s="12"/>
    </row>
    <row r="926" spans="1:10" ht="26.4" customHeight="1">
      <c r="A926" s="12" t="s">
        <v>2280</v>
      </c>
      <c r="B926" s="14" t="str">
        <f t="shared" si="12"/>
        <v>지도</v>
      </c>
      <c r="C926" s="12" t="s">
        <v>59</v>
      </c>
      <c r="D926" s="12" t="s">
        <v>3379</v>
      </c>
      <c r="E926" s="12">
        <v>22</v>
      </c>
      <c r="F926" s="12">
        <v>15000</v>
      </c>
      <c r="G926" s="12">
        <v>940</v>
      </c>
      <c r="H926" s="12">
        <v>3000</v>
      </c>
      <c r="I926" s="12">
        <v>60</v>
      </c>
      <c r="J926" s="12"/>
    </row>
    <row r="927" spans="1:10" ht="26.4" customHeight="1">
      <c r="A927" s="12" t="s">
        <v>3380</v>
      </c>
      <c r="B927" s="14" t="str">
        <f t="shared" si="12"/>
        <v>지도</v>
      </c>
      <c r="C927" s="12" t="s">
        <v>59</v>
      </c>
      <c r="D927" s="12" t="s">
        <v>3381</v>
      </c>
      <c r="E927" s="12">
        <v>62</v>
      </c>
      <c r="F927" s="12">
        <v>13000</v>
      </c>
      <c r="G927" s="12">
        <v>1200</v>
      </c>
      <c r="H927" s="12">
        <v>27000</v>
      </c>
      <c r="I927" s="12">
        <v>100</v>
      </c>
      <c r="J927" s="12"/>
    </row>
    <row r="928" spans="1:10" ht="26.4" customHeight="1">
      <c r="A928" s="12" t="s">
        <v>3382</v>
      </c>
      <c r="B928" s="14" t="str">
        <f t="shared" si="12"/>
        <v>지도</v>
      </c>
      <c r="C928" s="12" t="s">
        <v>59</v>
      </c>
      <c r="D928" s="12" t="s">
        <v>66</v>
      </c>
      <c r="E928" s="12">
        <v>45</v>
      </c>
      <c r="F928" s="12">
        <v>10000</v>
      </c>
      <c r="G928" s="12">
        <v>750</v>
      </c>
      <c r="H928" s="12">
        <v>0</v>
      </c>
      <c r="I928" s="12">
        <v>0</v>
      </c>
      <c r="J928" s="12" t="s">
        <v>3366</v>
      </c>
    </row>
    <row r="929" spans="1:10" ht="26.4" customHeight="1">
      <c r="A929" s="12" t="s">
        <v>3383</v>
      </c>
      <c r="B929" s="14" t="str">
        <f t="shared" si="12"/>
        <v>지도</v>
      </c>
      <c r="C929" s="12" t="s">
        <v>59</v>
      </c>
      <c r="D929" s="12" t="s">
        <v>3384</v>
      </c>
      <c r="E929" s="12">
        <v>35</v>
      </c>
      <c r="F929" s="12">
        <v>5000</v>
      </c>
      <c r="G929" s="12">
        <v>440</v>
      </c>
      <c r="H929" s="12">
        <v>15000</v>
      </c>
      <c r="I929" s="12">
        <v>0</v>
      </c>
      <c r="J929" s="12"/>
    </row>
    <row r="930" spans="1:10" ht="26.4" customHeight="1">
      <c r="A930" s="12" t="s">
        <v>3385</v>
      </c>
      <c r="B930" s="14" t="str">
        <f t="shared" si="12"/>
        <v>지도</v>
      </c>
      <c r="C930" s="12" t="s">
        <v>59</v>
      </c>
      <c r="D930" s="12" t="s">
        <v>3386</v>
      </c>
      <c r="E930" s="12">
        <v>25</v>
      </c>
      <c r="F930" s="12">
        <v>10000</v>
      </c>
      <c r="G930" s="12">
        <v>650</v>
      </c>
      <c r="H930" s="12">
        <v>15000</v>
      </c>
      <c r="I930" s="12">
        <v>66</v>
      </c>
      <c r="J930" s="12"/>
    </row>
    <row r="931" spans="1:10" ht="26.4" customHeight="1">
      <c r="A931" s="12" t="s">
        <v>3211</v>
      </c>
      <c r="B931" s="14" t="str">
        <f t="shared" si="12"/>
        <v>지도</v>
      </c>
      <c r="C931" s="12" t="s">
        <v>59</v>
      </c>
      <c r="D931" s="12" t="s">
        <v>3212</v>
      </c>
      <c r="E931" s="12">
        <v>48.7</v>
      </c>
      <c r="F931" s="12">
        <v>10000</v>
      </c>
      <c r="G931" s="12">
        <v>690</v>
      </c>
      <c r="H931" s="12">
        <v>20000</v>
      </c>
      <c r="I931" s="12">
        <v>200</v>
      </c>
      <c r="J931" s="12" t="s">
        <v>3387</v>
      </c>
    </row>
    <row r="932" spans="1:10" ht="26.4" customHeight="1">
      <c r="A932" s="12" t="s">
        <v>3388</v>
      </c>
      <c r="B932" s="14" t="str">
        <f t="shared" si="12"/>
        <v>지도</v>
      </c>
      <c r="C932" s="12" t="s">
        <v>59</v>
      </c>
      <c r="D932" s="12" t="s">
        <v>66</v>
      </c>
      <c r="E932" s="12">
        <v>50</v>
      </c>
      <c r="F932" s="12">
        <v>18000</v>
      </c>
      <c r="G932" s="12">
        <v>1150</v>
      </c>
      <c r="H932" s="12">
        <v>0</v>
      </c>
      <c r="I932" s="12">
        <v>150</v>
      </c>
      <c r="J932" s="12" t="s">
        <v>3389</v>
      </c>
    </row>
    <row r="933" spans="1:10" ht="26.4" customHeight="1">
      <c r="A933" s="12" t="s">
        <v>3116</v>
      </c>
      <c r="B933" s="14" t="str">
        <f t="shared" si="12"/>
        <v>지도</v>
      </c>
      <c r="C933" s="12" t="s">
        <v>60</v>
      </c>
      <c r="D933" s="12" t="s">
        <v>3117</v>
      </c>
      <c r="E933" s="12">
        <v>74</v>
      </c>
      <c r="F933" s="12">
        <v>15000</v>
      </c>
      <c r="G933" s="12">
        <v>870</v>
      </c>
      <c r="H933" s="12">
        <v>18000</v>
      </c>
      <c r="I933" s="12" t="s">
        <v>3390</v>
      </c>
      <c r="J933" s="12"/>
    </row>
    <row r="934" spans="1:10" ht="26.4" customHeight="1">
      <c r="A934" s="12" t="s">
        <v>3391</v>
      </c>
      <c r="B934" s="14" t="str">
        <f t="shared" si="12"/>
        <v>지도</v>
      </c>
      <c r="C934" s="12" t="s">
        <v>59</v>
      </c>
      <c r="D934" s="12" t="s">
        <v>66</v>
      </c>
      <c r="E934" s="12">
        <v>36</v>
      </c>
      <c r="F934" s="12">
        <v>5000</v>
      </c>
      <c r="G934" s="12">
        <v>300</v>
      </c>
      <c r="H934" s="12">
        <v>0</v>
      </c>
      <c r="I934" s="12"/>
      <c r="J934" s="12" t="s">
        <v>3392</v>
      </c>
    </row>
    <row r="935" spans="1:10" ht="26.4" customHeight="1">
      <c r="A935" s="12" t="s">
        <v>3393</v>
      </c>
      <c r="B935" s="14" t="str">
        <f t="shared" si="12"/>
        <v>지도</v>
      </c>
      <c r="C935" s="12" t="s">
        <v>59</v>
      </c>
      <c r="D935" s="12" t="s">
        <v>3394</v>
      </c>
      <c r="E935" s="12">
        <v>30</v>
      </c>
      <c r="F935" s="12">
        <v>3500</v>
      </c>
      <c r="G935" s="12">
        <v>127</v>
      </c>
      <c r="H935" s="12">
        <v>4300</v>
      </c>
      <c r="I935" s="12"/>
      <c r="J935" s="12"/>
    </row>
    <row r="936" spans="1:10" ht="26.4" customHeight="1">
      <c r="A936" s="12" t="s">
        <v>3395</v>
      </c>
      <c r="B936" s="14" t="str">
        <f t="shared" si="12"/>
        <v>지도</v>
      </c>
      <c r="C936" s="12" t="s">
        <v>59</v>
      </c>
      <c r="D936" s="12" t="s">
        <v>3396</v>
      </c>
      <c r="E936" s="12">
        <v>25</v>
      </c>
      <c r="F936" s="12">
        <v>7000</v>
      </c>
      <c r="G936" s="12">
        <v>230</v>
      </c>
      <c r="H936" s="12">
        <v>2000</v>
      </c>
      <c r="I936" s="12"/>
      <c r="J936" s="12"/>
    </row>
    <row r="937" spans="1:10" ht="26.4" customHeight="1">
      <c r="A937" s="12" t="s">
        <v>3397</v>
      </c>
      <c r="B937" s="14" t="str">
        <f t="shared" si="12"/>
        <v>지도</v>
      </c>
      <c r="C937" s="12" t="s">
        <v>59</v>
      </c>
      <c r="D937" s="12" t="s">
        <v>66</v>
      </c>
      <c r="E937" s="12">
        <v>33</v>
      </c>
      <c r="F937" s="12">
        <v>2000</v>
      </c>
      <c r="G937" s="12">
        <v>170</v>
      </c>
      <c r="H937" s="12">
        <v>0</v>
      </c>
      <c r="I937" s="12"/>
      <c r="J937" s="12" t="s">
        <v>3398</v>
      </c>
    </row>
    <row r="938" spans="1:10" ht="26.4" customHeight="1">
      <c r="A938" s="12" t="s">
        <v>3399</v>
      </c>
      <c r="B938" s="14" t="str">
        <f t="shared" si="12"/>
        <v>지도</v>
      </c>
      <c r="C938" s="12" t="s">
        <v>59</v>
      </c>
      <c r="D938" s="12" t="s">
        <v>3400</v>
      </c>
      <c r="E938" s="12">
        <v>30</v>
      </c>
      <c r="F938" s="12">
        <v>5000</v>
      </c>
      <c r="G938" s="12">
        <v>280</v>
      </c>
      <c r="H938" s="12">
        <v>5000</v>
      </c>
      <c r="I938" s="12"/>
      <c r="J938" s="12"/>
    </row>
    <row r="939" spans="1:10" ht="26.4" customHeight="1">
      <c r="A939" s="12" t="s">
        <v>3401</v>
      </c>
      <c r="B939" s="14" t="str">
        <f t="shared" si="12"/>
        <v>지도</v>
      </c>
      <c r="C939" s="12" t="s">
        <v>59</v>
      </c>
      <c r="D939" s="12" t="s">
        <v>66</v>
      </c>
      <c r="E939" s="12">
        <v>80</v>
      </c>
      <c r="F939" s="12">
        <v>10000</v>
      </c>
      <c r="G939" s="12">
        <v>900</v>
      </c>
      <c r="H939" s="12">
        <v>0</v>
      </c>
      <c r="I939" s="12">
        <v>25</v>
      </c>
      <c r="J939" s="12" t="s">
        <v>3402</v>
      </c>
    </row>
    <row r="940" spans="1:10" ht="26.4" customHeight="1">
      <c r="A940" s="12" t="s">
        <v>3403</v>
      </c>
      <c r="B940" s="14" t="str">
        <f t="shared" si="12"/>
        <v>지도</v>
      </c>
      <c r="C940" s="12" t="s">
        <v>59</v>
      </c>
      <c r="D940" s="12" t="s">
        <v>66</v>
      </c>
      <c r="E940" s="12">
        <v>65</v>
      </c>
      <c r="F940" s="12">
        <v>13000</v>
      </c>
      <c r="G940" s="12">
        <v>650</v>
      </c>
      <c r="H940" s="12">
        <v>0</v>
      </c>
      <c r="I940" s="12">
        <v>110</v>
      </c>
      <c r="J940" s="12" t="s">
        <v>3404</v>
      </c>
    </row>
    <row r="941" spans="1:10" ht="26.4" customHeight="1">
      <c r="A941" s="12" t="s">
        <v>3405</v>
      </c>
      <c r="B941" s="14" t="str">
        <f t="shared" si="12"/>
        <v>지도</v>
      </c>
      <c r="C941" s="12" t="s">
        <v>59</v>
      </c>
      <c r="D941" s="12" t="s">
        <v>3406</v>
      </c>
      <c r="E941" s="12">
        <v>15</v>
      </c>
      <c r="F941" s="12">
        <v>1500</v>
      </c>
      <c r="G941" s="12">
        <v>170</v>
      </c>
      <c r="H941" s="12">
        <v>0</v>
      </c>
      <c r="I941" s="12"/>
      <c r="J941" s="12" t="s">
        <v>3210</v>
      </c>
    </row>
    <row r="942" spans="1:10" ht="26.4" customHeight="1">
      <c r="A942" s="12" t="s">
        <v>3407</v>
      </c>
      <c r="B942" s="14" t="str">
        <f t="shared" si="12"/>
        <v>지도</v>
      </c>
      <c r="C942" s="12" t="s">
        <v>59</v>
      </c>
      <c r="D942" s="12" t="s">
        <v>66</v>
      </c>
      <c r="E942" s="12">
        <v>12</v>
      </c>
      <c r="F942" s="12">
        <v>5000</v>
      </c>
      <c r="G942" s="12">
        <v>300</v>
      </c>
      <c r="H942" s="12">
        <v>0</v>
      </c>
      <c r="I942" s="12">
        <v>10</v>
      </c>
      <c r="J942" s="12"/>
    </row>
    <row r="943" spans="1:10" ht="26.4" customHeight="1">
      <c r="A943" s="12" t="s">
        <v>3407</v>
      </c>
      <c r="B943" s="14" t="str">
        <f t="shared" si="12"/>
        <v>지도</v>
      </c>
      <c r="C943" s="12" t="s">
        <v>59</v>
      </c>
      <c r="D943" s="12" t="s">
        <v>66</v>
      </c>
      <c r="E943" s="12">
        <v>18</v>
      </c>
      <c r="F943" s="12">
        <v>4000</v>
      </c>
      <c r="G943" s="12">
        <v>300</v>
      </c>
      <c r="H943" s="12">
        <v>0</v>
      </c>
      <c r="I943" s="12">
        <v>15</v>
      </c>
      <c r="J943" s="12" t="s">
        <v>3408</v>
      </c>
    </row>
    <row r="944" spans="1:10" ht="26.4" customHeight="1">
      <c r="A944" s="12" t="s">
        <v>3409</v>
      </c>
      <c r="B944" s="14" t="str">
        <f t="shared" si="12"/>
        <v>지도</v>
      </c>
      <c r="C944" s="12" t="s">
        <v>59</v>
      </c>
      <c r="D944" s="12" t="s">
        <v>66</v>
      </c>
      <c r="E944" s="12">
        <v>20</v>
      </c>
      <c r="F944" s="12">
        <v>3000</v>
      </c>
      <c r="G944" s="12">
        <v>350</v>
      </c>
      <c r="H944" s="12">
        <v>1000</v>
      </c>
      <c r="I944" s="12">
        <v>6</v>
      </c>
      <c r="J944" s="12" t="s">
        <v>3410</v>
      </c>
    </row>
    <row r="945" spans="1:10" ht="26.4" customHeight="1">
      <c r="B945" s="34" t="s">
        <v>3432</v>
      </c>
    </row>
    <row r="946" spans="1:10" ht="26.4" customHeight="1">
      <c r="A946" s="13" t="s">
        <v>0</v>
      </c>
      <c r="B946" s="13" t="s">
        <v>925</v>
      </c>
      <c r="C946" s="13" t="s">
        <v>2</v>
      </c>
      <c r="D946" s="13" t="s">
        <v>1453</v>
      </c>
      <c r="E946" s="13" t="s">
        <v>3</v>
      </c>
      <c r="F946" s="13" t="s">
        <v>919</v>
      </c>
      <c r="G946" s="13" t="s">
        <v>920</v>
      </c>
      <c r="H946" s="13" t="s">
        <v>921</v>
      </c>
      <c r="I946" s="13" t="s">
        <v>922</v>
      </c>
      <c r="J946" s="13" t="s">
        <v>8</v>
      </c>
    </row>
    <row r="947" spans="1:10" ht="26.4" customHeight="1">
      <c r="A947" s="12" t="s">
        <v>3411</v>
      </c>
      <c r="B947" s="14" t="str">
        <f t="shared" ref="B947:B956" si="13">HYPERLINK("https://map.naver.com/v5/search/" &amp; A947, "지도")</f>
        <v>지도</v>
      </c>
      <c r="C947" s="12" t="s">
        <v>3433</v>
      </c>
      <c r="D947" s="12" t="s">
        <v>66</v>
      </c>
      <c r="E947" s="12">
        <v>150</v>
      </c>
      <c r="F947" s="12">
        <v>20000</v>
      </c>
      <c r="G947" s="12">
        <v>1200</v>
      </c>
      <c r="H947" s="12">
        <v>0</v>
      </c>
      <c r="I947" s="12"/>
      <c r="J947" s="12" t="s">
        <v>3412</v>
      </c>
    </row>
    <row r="948" spans="1:10" ht="26.4" customHeight="1">
      <c r="A948" s="12" t="s">
        <v>1406</v>
      </c>
      <c r="B948" s="14" t="str">
        <f t="shared" si="13"/>
        <v>지도</v>
      </c>
      <c r="C948" s="12" t="s">
        <v>59</v>
      </c>
      <c r="D948" s="12" t="s">
        <v>3413</v>
      </c>
      <c r="E948" s="12">
        <v>17</v>
      </c>
      <c r="F948" s="12">
        <v>8000</v>
      </c>
      <c r="G948" s="12">
        <v>250</v>
      </c>
      <c r="H948" s="12">
        <v>0</v>
      </c>
      <c r="I948" s="12">
        <v>10</v>
      </c>
      <c r="J948" s="12"/>
    </row>
    <row r="949" spans="1:10" ht="26.4" customHeight="1">
      <c r="A949" s="12" t="s">
        <v>1402</v>
      </c>
      <c r="B949" s="14" t="str">
        <f t="shared" si="13"/>
        <v>지도</v>
      </c>
      <c r="C949" s="12" t="s">
        <v>59</v>
      </c>
      <c r="D949" s="12" t="s">
        <v>3414</v>
      </c>
      <c r="E949" s="12">
        <v>27</v>
      </c>
      <c r="F949" s="12">
        <v>5000</v>
      </c>
      <c r="G949" s="12">
        <v>230</v>
      </c>
      <c r="H949" s="12">
        <v>7000</v>
      </c>
      <c r="I949" s="12">
        <v>15</v>
      </c>
      <c r="J949" s="12"/>
    </row>
    <row r="950" spans="1:10" ht="26.4" customHeight="1">
      <c r="A950" s="12" t="s">
        <v>3415</v>
      </c>
      <c r="B950" s="14" t="str">
        <f t="shared" si="13"/>
        <v>지도</v>
      </c>
      <c r="C950" s="12" t="s">
        <v>59</v>
      </c>
      <c r="D950" s="12" t="s">
        <v>66</v>
      </c>
      <c r="E950" s="12">
        <v>30</v>
      </c>
      <c r="F950" s="12">
        <v>3000</v>
      </c>
      <c r="G950" s="12">
        <v>370</v>
      </c>
      <c r="H950" s="12">
        <v>0</v>
      </c>
      <c r="I950" s="12">
        <v>15</v>
      </c>
      <c r="J950" s="12" t="s">
        <v>3416</v>
      </c>
    </row>
    <row r="951" spans="1:10" ht="26.4" customHeight="1">
      <c r="A951" s="12" t="s">
        <v>3417</v>
      </c>
      <c r="B951" s="14" t="str">
        <f t="shared" si="13"/>
        <v>지도</v>
      </c>
      <c r="C951" s="12" t="s">
        <v>59</v>
      </c>
      <c r="D951" s="12" t="s">
        <v>3418</v>
      </c>
      <c r="E951" s="12">
        <v>35.99</v>
      </c>
      <c r="F951" s="12">
        <v>3000</v>
      </c>
      <c r="G951" s="12">
        <v>300</v>
      </c>
      <c r="H951" s="12">
        <v>10000</v>
      </c>
      <c r="I951" s="12">
        <v>3</v>
      </c>
      <c r="J951" s="12"/>
    </row>
    <row r="952" spans="1:10" ht="26.4" customHeight="1">
      <c r="A952" s="12" t="s">
        <v>3419</v>
      </c>
      <c r="B952" s="14" t="str">
        <f t="shared" si="13"/>
        <v>지도</v>
      </c>
      <c r="C952" s="12" t="s">
        <v>59</v>
      </c>
      <c r="D952" s="12" t="s">
        <v>3420</v>
      </c>
      <c r="E952" s="12">
        <v>22</v>
      </c>
      <c r="F952" s="12">
        <v>4000</v>
      </c>
      <c r="G952" s="12">
        <v>180</v>
      </c>
      <c r="H952" s="12">
        <v>5000</v>
      </c>
      <c r="I952" s="12"/>
      <c r="J952" s="12"/>
    </row>
    <row r="953" spans="1:10" ht="26.4" customHeight="1">
      <c r="A953" s="12" t="s">
        <v>3421</v>
      </c>
      <c r="B953" s="14" t="str">
        <f t="shared" si="13"/>
        <v>지도</v>
      </c>
      <c r="C953" s="12" t="s">
        <v>110</v>
      </c>
      <c r="D953" s="12" t="s">
        <v>3422</v>
      </c>
      <c r="E953" s="12">
        <v>80</v>
      </c>
      <c r="F953" s="12">
        <v>10000</v>
      </c>
      <c r="G953" s="12">
        <v>550</v>
      </c>
      <c r="H953" s="12">
        <v>21000</v>
      </c>
      <c r="I953" s="12"/>
      <c r="J953" s="12" t="s">
        <v>3423</v>
      </c>
    </row>
    <row r="954" spans="1:10" ht="26.4" customHeight="1">
      <c r="A954" s="12" t="s">
        <v>3424</v>
      </c>
      <c r="B954" s="14" t="str">
        <f t="shared" si="13"/>
        <v>지도</v>
      </c>
      <c r="C954" s="12" t="s">
        <v>59</v>
      </c>
      <c r="D954" s="12" t="s">
        <v>3425</v>
      </c>
      <c r="E954" s="12">
        <v>32</v>
      </c>
      <c r="F954" s="12">
        <v>10000</v>
      </c>
      <c r="G954" s="12">
        <v>350</v>
      </c>
      <c r="H954" s="12">
        <v>14000</v>
      </c>
      <c r="I954" s="12"/>
      <c r="J954" s="12" t="s">
        <v>3426</v>
      </c>
    </row>
    <row r="955" spans="1:10" ht="26.4" customHeight="1">
      <c r="A955" s="12" t="s">
        <v>3427</v>
      </c>
      <c r="B955" s="14" t="str">
        <f t="shared" si="13"/>
        <v>지도</v>
      </c>
      <c r="C955" s="12" t="s">
        <v>59</v>
      </c>
      <c r="D955" s="12" t="s">
        <v>3428</v>
      </c>
      <c r="E955" s="12">
        <v>30</v>
      </c>
      <c r="F955" s="12">
        <v>5000</v>
      </c>
      <c r="G955" s="12">
        <v>400</v>
      </c>
      <c r="H955" s="12">
        <v>20000</v>
      </c>
      <c r="I955" s="12"/>
      <c r="J955" s="12"/>
    </row>
    <row r="956" spans="1:10" ht="26.4" customHeight="1">
      <c r="A956" s="12" t="s">
        <v>3429</v>
      </c>
      <c r="B956" s="14" t="str">
        <f t="shared" si="13"/>
        <v>지도</v>
      </c>
      <c r="C956" s="12" t="s">
        <v>59</v>
      </c>
      <c r="D956" s="12" t="s">
        <v>3430</v>
      </c>
      <c r="E956" s="12">
        <v>31</v>
      </c>
      <c r="F956" s="12">
        <v>4000</v>
      </c>
      <c r="G956" s="12">
        <v>400</v>
      </c>
      <c r="H956" s="12">
        <v>20000</v>
      </c>
      <c r="I956" s="12"/>
      <c r="J956" s="12" t="s">
        <v>3431</v>
      </c>
    </row>
    <row r="958" spans="1:10" ht="26.4" customHeight="1">
      <c r="A958" s="13" t="s">
        <v>0</v>
      </c>
      <c r="B958" s="13" t="s">
        <v>925</v>
      </c>
      <c r="C958" s="13" t="s">
        <v>2</v>
      </c>
      <c r="D958" s="13" t="s">
        <v>1453</v>
      </c>
      <c r="E958" s="13" t="s">
        <v>3</v>
      </c>
      <c r="F958" s="13" t="s">
        <v>919</v>
      </c>
      <c r="G958" s="13" t="s">
        <v>920</v>
      </c>
      <c r="H958" s="13" t="s">
        <v>921</v>
      </c>
      <c r="I958" s="13" t="s">
        <v>922</v>
      </c>
      <c r="J958" s="13" t="s">
        <v>8</v>
      </c>
    </row>
    <row r="959" spans="1:10" ht="26.4" customHeight="1">
      <c r="A959" s="12" t="s">
        <v>3434</v>
      </c>
      <c r="B959" s="14" t="str">
        <f t="shared" ref="B959:B981" si="14">HYPERLINK("https://map.naver.com/v5/search/" &amp; A959, "지도")</f>
        <v>지도</v>
      </c>
      <c r="C959" s="12" t="s">
        <v>59</v>
      </c>
      <c r="D959" s="12" t="s">
        <v>3435</v>
      </c>
      <c r="E959" s="12">
        <v>16.239999999999998</v>
      </c>
      <c r="F959" s="12">
        <v>6000</v>
      </c>
      <c r="G959" s="12">
        <v>306</v>
      </c>
      <c r="H959" s="12">
        <v>7000</v>
      </c>
      <c r="I959" s="12"/>
      <c r="J959" s="12" t="s">
        <v>3436</v>
      </c>
    </row>
    <row r="960" spans="1:10" ht="26.4" customHeight="1">
      <c r="A960" s="12" t="s">
        <v>3437</v>
      </c>
      <c r="B960" s="14" t="str">
        <f t="shared" si="14"/>
        <v>지도</v>
      </c>
      <c r="C960" s="12" t="s">
        <v>59</v>
      </c>
      <c r="D960" s="12" t="s">
        <v>3438</v>
      </c>
      <c r="E960" s="12">
        <v>15</v>
      </c>
      <c r="F960" s="12">
        <v>2800</v>
      </c>
      <c r="G960" s="12">
        <v>200</v>
      </c>
      <c r="H960" s="12">
        <v>3500</v>
      </c>
      <c r="I960" s="12"/>
      <c r="J960" s="12" t="s">
        <v>3439</v>
      </c>
    </row>
    <row r="961" spans="1:10" ht="26.4" customHeight="1">
      <c r="A961" s="12" t="s">
        <v>3440</v>
      </c>
      <c r="B961" s="14" t="str">
        <f t="shared" si="14"/>
        <v>지도</v>
      </c>
      <c r="C961" s="12" t="s">
        <v>110</v>
      </c>
      <c r="D961" s="12" t="s">
        <v>3441</v>
      </c>
      <c r="E961" s="12">
        <v>48</v>
      </c>
      <c r="F961" s="12">
        <v>5000</v>
      </c>
      <c r="G961" s="12">
        <v>320</v>
      </c>
      <c r="H961" s="12">
        <v>9000</v>
      </c>
      <c r="I961" s="12"/>
      <c r="J961" s="12" t="s">
        <v>3442</v>
      </c>
    </row>
    <row r="962" spans="1:10" ht="26.4" customHeight="1">
      <c r="A962" s="12" t="s">
        <v>3443</v>
      </c>
      <c r="B962" s="14" t="str">
        <f t="shared" si="14"/>
        <v>지도</v>
      </c>
      <c r="C962" s="12" t="s">
        <v>59</v>
      </c>
      <c r="D962" s="12" t="s">
        <v>66</v>
      </c>
      <c r="E962" s="12">
        <v>23</v>
      </c>
      <c r="F962" s="12">
        <v>4000</v>
      </c>
      <c r="G962" s="12">
        <v>260</v>
      </c>
      <c r="H962" s="12">
        <v>0</v>
      </c>
      <c r="I962" s="12"/>
      <c r="J962" s="12"/>
    </row>
    <row r="963" spans="1:10" ht="26.4" customHeight="1">
      <c r="A963" s="12" t="s">
        <v>3444</v>
      </c>
      <c r="B963" s="14" t="str">
        <f t="shared" si="14"/>
        <v>지도</v>
      </c>
      <c r="C963" s="12" t="s">
        <v>59</v>
      </c>
      <c r="D963" s="12" t="s">
        <v>3445</v>
      </c>
      <c r="E963" s="12">
        <v>35</v>
      </c>
      <c r="F963" s="12">
        <v>7000</v>
      </c>
      <c r="G963" s="12">
        <v>300</v>
      </c>
      <c r="H963" s="12">
        <v>6000</v>
      </c>
      <c r="I963" s="12"/>
      <c r="J963" s="12"/>
    </row>
    <row r="964" spans="1:10" ht="26.4" customHeight="1">
      <c r="A964" s="12" t="s">
        <v>3446</v>
      </c>
      <c r="B964" s="14" t="str">
        <f t="shared" si="14"/>
        <v>지도</v>
      </c>
      <c r="C964" s="12" t="s">
        <v>59</v>
      </c>
      <c r="D964" s="12" t="s">
        <v>3447</v>
      </c>
      <c r="E964" s="12">
        <v>24</v>
      </c>
      <c r="F964" s="12">
        <v>2000</v>
      </c>
      <c r="G964" s="12">
        <v>200</v>
      </c>
      <c r="H964" s="12">
        <v>6000</v>
      </c>
      <c r="I964" s="12"/>
      <c r="J964" s="12"/>
    </row>
    <row r="965" spans="1:10" ht="26.4" customHeight="1">
      <c r="A965" s="12" t="s">
        <v>3448</v>
      </c>
      <c r="B965" s="14" t="str">
        <f t="shared" si="14"/>
        <v>지도</v>
      </c>
      <c r="C965" s="12" t="s">
        <v>59</v>
      </c>
      <c r="D965" s="12" t="s">
        <v>1851</v>
      </c>
      <c r="E965" s="12">
        <v>47</v>
      </c>
      <c r="F965" s="12">
        <v>5000</v>
      </c>
      <c r="G965" s="12">
        <v>350</v>
      </c>
      <c r="H965" s="12">
        <v>9000</v>
      </c>
      <c r="I965" s="12"/>
      <c r="J965" s="12" t="s">
        <v>3449</v>
      </c>
    </row>
    <row r="966" spans="1:10" ht="26.4" customHeight="1">
      <c r="A966" s="12" t="s">
        <v>3450</v>
      </c>
      <c r="B966" s="14" t="str">
        <f t="shared" si="14"/>
        <v>지도</v>
      </c>
      <c r="C966" s="12" t="s">
        <v>59</v>
      </c>
      <c r="D966" s="12" t="s">
        <v>3451</v>
      </c>
      <c r="E966" s="12">
        <v>51</v>
      </c>
      <c r="F966" s="12">
        <v>6000</v>
      </c>
      <c r="G966" s="12">
        <v>460</v>
      </c>
      <c r="H966" s="12">
        <v>12000</v>
      </c>
      <c r="I966" s="12">
        <v>11</v>
      </c>
      <c r="J966" s="12" t="s">
        <v>3452</v>
      </c>
    </row>
    <row r="967" spans="1:10" ht="26.4" customHeight="1">
      <c r="A967" s="12" t="s">
        <v>3453</v>
      </c>
      <c r="B967" s="14" t="str">
        <f t="shared" si="14"/>
        <v>지도</v>
      </c>
      <c r="C967" s="12" t="s">
        <v>59</v>
      </c>
      <c r="D967" s="12" t="s">
        <v>1851</v>
      </c>
      <c r="E967" s="12">
        <v>55</v>
      </c>
      <c r="F967" s="12">
        <v>3000</v>
      </c>
      <c r="G967" s="12">
        <v>430</v>
      </c>
      <c r="H967" s="12">
        <v>15000</v>
      </c>
      <c r="I967" s="12"/>
      <c r="J967" s="12" t="s">
        <v>3454</v>
      </c>
    </row>
    <row r="968" spans="1:10" ht="26.4" customHeight="1">
      <c r="A968" s="12" t="s">
        <v>3455</v>
      </c>
      <c r="B968" s="14" t="str">
        <f t="shared" si="14"/>
        <v>지도</v>
      </c>
      <c r="C968" s="12" t="s">
        <v>59</v>
      </c>
      <c r="D968" s="12" t="s">
        <v>66</v>
      </c>
      <c r="E968" s="12">
        <v>36</v>
      </c>
      <c r="F968" s="12">
        <v>6000</v>
      </c>
      <c r="G968" s="12">
        <v>400</v>
      </c>
      <c r="H968" s="12">
        <v>0</v>
      </c>
      <c r="I968" s="12"/>
      <c r="J968" s="12"/>
    </row>
    <row r="969" spans="1:10" ht="26.4" customHeight="1">
      <c r="A969" s="12" t="s">
        <v>3456</v>
      </c>
      <c r="B969" s="14" t="str">
        <f t="shared" si="14"/>
        <v>지도</v>
      </c>
      <c r="C969" s="12" t="s">
        <v>59</v>
      </c>
      <c r="D969" s="12" t="s">
        <v>66</v>
      </c>
      <c r="E969" s="12">
        <v>45.33</v>
      </c>
      <c r="F969" s="12">
        <v>6000</v>
      </c>
      <c r="G969" s="12">
        <v>360</v>
      </c>
      <c r="H969" s="12">
        <v>0</v>
      </c>
      <c r="I969" s="12"/>
      <c r="J969" s="12" t="s">
        <v>3457</v>
      </c>
    </row>
    <row r="970" spans="1:10" ht="26.4" customHeight="1">
      <c r="A970" s="12" t="s">
        <v>3458</v>
      </c>
      <c r="B970" s="14" t="str">
        <f t="shared" si="14"/>
        <v>지도</v>
      </c>
      <c r="C970" s="12" t="s">
        <v>59</v>
      </c>
      <c r="D970" s="12" t="s">
        <v>66</v>
      </c>
      <c r="E970" s="12">
        <v>40</v>
      </c>
      <c r="F970" s="12">
        <v>3000</v>
      </c>
      <c r="G970" s="12">
        <v>220</v>
      </c>
      <c r="H970" s="12">
        <v>0</v>
      </c>
      <c r="I970" s="12"/>
      <c r="J970" s="12" t="s">
        <v>3459</v>
      </c>
    </row>
    <row r="971" spans="1:10" ht="26.4" customHeight="1">
      <c r="A971" s="12" t="s">
        <v>3460</v>
      </c>
      <c r="B971" s="14" t="str">
        <f t="shared" si="14"/>
        <v>지도</v>
      </c>
      <c r="C971" s="12" t="s">
        <v>59</v>
      </c>
      <c r="D971" s="12" t="s">
        <v>3461</v>
      </c>
      <c r="E971" s="12">
        <v>40</v>
      </c>
      <c r="F971" s="12">
        <v>8000</v>
      </c>
      <c r="G971" s="12">
        <v>440</v>
      </c>
      <c r="H971" s="12">
        <v>15000</v>
      </c>
      <c r="I971" s="12"/>
      <c r="J971" s="12"/>
    </row>
    <row r="972" spans="1:10" ht="26.4" customHeight="1">
      <c r="A972" s="12" t="s">
        <v>3462</v>
      </c>
      <c r="B972" s="14" t="str">
        <f t="shared" si="14"/>
        <v>지도</v>
      </c>
      <c r="C972" s="12" t="s">
        <v>59</v>
      </c>
      <c r="D972" s="12" t="s">
        <v>3463</v>
      </c>
      <c r="E972" s="12">
        <v>30</v>
      </c>
      <c r="F972" s="12">
        <v>3500</v>
      </c>
      <c r="G972" s="12">
        <v>230</v>
      </c>
      <c r="H972" s="12">
        <v>0</v>
      </c>
      <c r="I972" s="12"/>
      <c r="J972" s="12" t="s">
        <v>3464</v>
      </c>
    </row>
    <row r="973" spans="1:10" ht="26.4" customHeight="1">
      <c r="A973" s="12" t="s">
        <v>3465</v>
      </c>
      <c r="B973" s="14" t="str">
        <f t="shared" si="14"/>
        <v>지도</v>
      </c>
      <c r="C973" s="12" t="s">
        <v>59</v>
      </c>
      <c r="D973" s="12" t="s">
        <v>3466</v>
      </c>
      <c r="E973" s="12">
        <v>40</v>
      </c>
      <c r="F973" s="12">
        <v>5000</v>
      </c>
      <c r="G973" s="12">
        <v>400</v>
      </c>
      <c r="H973" s="12">
        <v>12000</v>
      </c>
      <c r="I973" s="12"/>
      <c r="J973" s="12"/>
    </row>
    <row r="974" spans="1:10" ht="26.4" customHeight="1">
      <c r="A974" s="12" t="s">
        <v>3467</v>
      </c>
      <c r="B974" s="14" t="str">
        <f t="shared" si="14"/>
        <v>지도</v>
      </c>
      <c r="C974" s="12" t="s">
        <v>59</v>
      </c>
      <c r="D974" s="12" t="s">
        <v>3468</v>
      </c>
      <c r="E974" s="12">
        <v>29</v>
      </c>
      <c r="F974" s="12">
        <v>3000</v>
      </c>
      <c r="G974" s="12">
        <v>285</v>
      </c>
      <c r="H974" s="12">
        <v>8000</v>
      </c>
      <c r="I974" s="12"/>
      <c r="J974" s="12" t="s">
        <v>3469</v>
      </c>
    </row>
    <row r="975" spans="1:10" ht="26.4" customHeight="1">
      <c r="A975" s="12" t="s">
        <v>3470</v>
      </c>
      <c r="B975" s="14" t="str">
        <f t="shared" si="14"/>
        <v>지도</v>
      </c>
      <c r="C975" s="12" t="s">
        <v>59</v>
      </c>
      <c r="D975" s="12" t="s">
        <v>3471</v>
      </c>
      <c r="E975" s="12">
        <v>28</v>
      </c>
      <c r="F975" s="12">
        <v>2000</v>
      </c>
      <c r="G975" s="12">
        <v>200</v>
      </c>
      <c r="H975" s="12">
        <v>9000</v>
      </c>
      <c r="I975" s="12"/>
      <c r="J975" s="12"/>
    </row>
    <row r="976" spans="1:10" ht="26.4" customHeight="1">
      <c r="A976" s="12" t="s">
        <v>3346</v>
      </c>
      <c r="B976" s="14" t="str">
        <f t="shared" si="14"/>
        <v>지도</v>
      </c>
      <c r="C976" s="12" t="s">
        <v>59</v>
      </c>
      <c r="D976" s="12" t="s">
        <v>3347</v>
      </c>
      <c r="E976" s="12">
        <v>65</v>
      </c>
      <c r="F976" s="12">
        <v>2000</v>
      </c>
      <c r="G976" s="12">
        <v>220</v>
      </c>
      <c r="H976" s="12">
        <v>9000</v>
      </c>
      <c r="I976" s="12"/>
      <c r="J976" s="12" t="s">
        <v>2591</v>
      </c>
    </row>
    <row r="977" spans="1:10" ht="26.4" customHeight="1">
      <c r="A977" s="12" t="s">
        <v>3472</v>
      </c>
      <c r="B977" s="14" t="str">
        <f t="shared" si="14"/>
        <v>지도</v>
      </c>
      <c r="C977" s="12" t="s">
        <v>59</v>
      </c>
      <c r="D977" s="12" t="s">
        <v>3473</v>
      </c>
      <c r="E977" s="12">
        <v>42</v>
      </c>
      <c r="F977" s="12">
        <v>5000</v>
      </c>
      <c r="G977" s="12">
        <v>340</v>
      </c>
      <c r="H977" s="12">
        <v>6000</v>
      </c>
      <c r="I977" s="12"/>
      <c r="J977" s="12" t="s">
        <v>3474</v>
      </c>
    </row>
    <row r="978" spans="1:10" ht="26.4" customHeight="1">
      <c r="A978" s="12" t="s">
        <v>3475</v>
      </c>
      <c r="B978" s="14" t="str">
        <f t="shared" si="14"/>
        <v>지도</v>
      </c>
      <c r="C978" s="12" t="s">
        <v>59</v>
      </c>
      <c r="D978" s="12" t="s">
        <v>66</v>
      </c>
      <c r="E978" s="12">
        <v>12.7</v>
      </c>
      <c r="F978" s="12">
        <v>7000</v>
      </c>
      <c r="G978" s="12">
        <v>350</v>
      </c>
      <c r="H978" s="12">
        <v>0</v>
      </c>
      <c r="I978" s="12"/>
      <c r="J978" s="12" t="s">
        <v>3476</v>
      </c>
    </row>
    <row r="979" spans="1:10" ht="26.4" customHeight="1">
      <c r="A979" s="12" t="s">
        <v>3477</v>
      </c>
      <c r="B979" s="14" t="str">
        <f t="shared" si="14"/>
        <v>지도</v>
      </c>
      <c r="C979" s="12" t="s">
        <v>59</v>
      </c>
      <c r="D979" s="12" t="s">
        <v>2982</v>
      </c>
      <c r="E979" s="12">
        <v>57</v>
      </c>
      <c r="F979" s="12">
        <v>7000</v>
      </c>
      <c r="G979" s="12">
        <v>520</v>
      </c>
      <c r="H979" s="12">
        <v>5000</v>
      </c>
      <c r="I979" s="12"/>
      <c r="J979" s="12" t="s">
        <v>1822</v>
      </c>
    </row>
    <row r="980" spans="1:10" ht="26.4" customHeight="1">
      <c r="A980" s="12" t="s">
        <v>3478</v>
      </c>
      <c r="B980" s="14" t="str">
        <f t="shared" si="14"/>
        <v>지도</v>
      </c>
      <c r="C980" s="12" t="s">
        <v>3479</v>
      </c>
      <c r="D980" s="12" t="s">
        <v>66</v>
      </c>
      <c r="E980" s="12">
        <v>230</v>
      </c>
      <c r="F980" s="12">
        <v>30000</v>
      </c>
      <c r="G980" s="12">
        <v>1500</v>
      </c>
      <c r="H980" s="12">
        <v>0</v>
      </c>
      <c r="I980" s="12"/>
      <c r="J980" s="12" t="s">
        <v>3480</v>
      </c>
    </row>
    <row r="981" spans="1:10" ht="26.4" customHeight="1">
      <c r="A981" s="12" t="s">
        <v>3478</v>
      </c>
      <c r="B981" s="14" t="str">
        <f t="shared" si="14"/>
        <v>지도</v>
      </c>
      <c r="C981" s="12" t="s">
        <v>59</v>
      </c>
      <c r="D981" s="12" t="s">
        <v>66</v>
      </c>
      <c r="E981" s="12">
        <v>58</v>
      </c>
      <c r="F981" s="12">
        <v>10000</v>
      </c>
      <c r="G981" s="12">
        <v>600</v>
      </c>
      <c r="H981" s="12">
        <v>0</v>
      </c>
      <c r="I981" s="12"/>
      <c r="J981" s="12" t="s">
        <v>3481</v>
      </c>
    </row>
    <row r="983" spans="1:10" ht="26.4" customHeight="1">
      <c r="A983" s="13" t="s">
        <v>0</v>
      </c>
      <c r="B983" s="13" t="s">
        <v>925</v>
      </c>
      <c r="C983" s="13" t="s">
        <v>2</v>
      </c>
      <c r="D983" s="13" t="s">
        <v>1453</v>
      </c>
      <c r="E983" s="13" t="s">
        <v>3</v>
      </c>
      <c r="F983" s="13" t="s">
        <v>919</v>
      </c>
      <c r="G983" s="13" t="s">
        <v>920</v>
      </c>
      <c r="H983" s="13" t="s">
        <v>921</v>
      </c>
      <c r="I983" s="13" t="s">
        <v>922</v>
      </c>
      <c r="J983" s="13" t="s">
        <v>8</v>
      </c>
    </row>
    <row r="984" spans="1:10" ht="26.4" customHeight="1">
      <c r="A984" s="12" t="s">
        <v>3501</v>
      </c>
      <c r="B984" s="14" t="str">
        <f t="shared" ref="B984:B1018" si="15">HYPERLINK("https://map.naver.com/v5/search/" &amp; A984, "지도")</f>
        <v>지도</v>
      </c>
      <c r="C984" s="12" t="s">
        <v>59</v>
      </c>
      <c r="D984" s="12" t="s">
        <v>66</v>
      </c>
      <c r="E984" s="12">
        <v>18</v>
      </c>
      <c r="F984" s="12">
        <v>10000</v>
      </c>
      <c r="G984" s="12">
        <v>400</v>
      </c>
      <c r="H984" s="12">
        <v>5000</v>
      </c>
      <c r="I984" s="12"/>
      <c r="J984" s="12" t="s">
        <v>3502</v>
      </c>
    </row>
    <row r="985" spans="1:10" ht="26.4" customHeight="1">
      <c r="A985" s="12" t="s">
        <v>3503</v>
      </c>
      <c r="B985" s="14" t="str">
        <f t="shared" si="15"/>
        <v>지도</v>
      </c>
      <c r="C985" s="12" t="s">
        <v>59</v>
      </c>
      <c r="D985" s="12" t="s">
        <v>66</v>
      </c>
      <c r="E985" s="12">
        <v>20</v>
      </c>
      <c r="F985" s="12">
        <v>3000</v>
      </c>
      <c r="G985" s="12">
        <v>200</v>
      </c>
      <c r="H985" s="12">
        <v>1500</v>
      </c>
      <c r="I985" s="12"/>
      <c r="J985" s="12" t="s">
        <v>3233</v>
      </c>
    </row>
    <row r="986" spans="1:10" ht="26.4" customHeight="1">
      <c r="A986" s="12" t="s">
        <v>3504</v>
      </c>
      <c r="B986" s="14" t="str">
        <f t="shared" si="15"/>
        <v>지도</v>
      </c>
      <c r="C986" s="12" t="s">
        <v>59</v>
      </c>
      <c r="D986" s="12" t="s">
        <v>3505</v>
      </c>
      <c r="E986" s="12">
        <v>30</v>
      </c>
      <c r="F986" s="12">
        <v>2000</v>
      </c>
      <c r="G986" s="12">
        <v>170</v>
      </c>
      <c r="H986" s="12">
        <v>6000</v>
      </c>
      <c r="I986" s="12"/>
      <c r="J986" s="12" t="s">
        <v>3506</v>
      </c>
    </row>
    <row r="987" spans="1:10" ht="26.4" customHeight="1">
      <c r="A987" s="12" t="s">
        <v>3507</v>
      </c>
      <c r="B987" s="14" t="str">
        <f t="shared" si="15"/>
        <v>지도</v>
      </c>
      <c r="C987" s="12" t="s">
        <v>59</v>
      </c>
      <c r="D987" s="12" t="s">
        <v>3508</v>
      </c>
      <c r="E987" s="12">
        <v>40</v>
      </c>
      <c r="F987" s="12">
        <v>10000</v>
      </c>
      <c r="G987" s="12">
        <v>180</v>
      </c>
      <c r="H987" s="12">
        <v>8000</v>
      </c>
      <c r="I987" s="12"/>
      <c r="J987" s="12" t="s">
        <v>3506</v>
      </c>
    </row>
    <row r="988" spans="1:10" ht="26.4" customHeight="1">
      <c r="A988" s="12" t="s">
        <v>3509</v>
      </c>
      <c r="B988" s="14" t="str">
        <f t="shared" si="15"/>
        <v>지도</v>
      </c>
      <c r="C988" s="12" t="s">
        <v>59</v>
      </c>
      <c r="D988" s="12" t="s">
        <v>3510</v>
      </c>
      <c r="E988" s="12">
        <v>41</v>
      </c>
      <c r="F988" s="12">
        <v>4500</v>
      </c>
      <c r="G988" s="12">
        <v>280</v>
      </c>
      <c r="H988" s="12">
        <v>6000</v>
      </c>
      <c r="I988" s="12"/>
      <c r="J988" s="12" t="s">
        <v>3511</v>
      </c>
    </row>
    <row r="989" spans="1:10" ht="26.4" customHeight="1">
      <c r="A989" s="12" t="s">
        <v>3512</v>
      </c>
      <c r="B989" s="14" t="str">
        <f t="shared" si="15"/>
        <v>지도</v>
      </c>
      <c r="C989" s="12" t="s">
        <v>59</v>
      </c>
      <c r="D989" s="12" t="s">
        <v>3513</v>
      </c>
      <c r="E989" s="12">
        <v>40</v>
      </c>
      <c r="F989" s="12">
        <v>3000</v>
      </c>
      <c r="G989" s="12">
        <v>240</v>
      </c>
      <c r="H989" s="12">
        <v>3500</v>
      </c>
      <c r="I989" s="12"/>
      <c r="J989" s="12" t="s">
        <v>3514</v>
      </c>
    </row>
    <row r="990" spans="1:10" ht="26.4" customHeight="1">
      <c r="A990" s="12" t="s">
        <v>3515</v>
      </c>
      <c r="B990" s="14" t="str">
        <f t="shared" si="15"/>
        <v>지도</v>
      </c>
      <c r="C990" s="12" t="s">
        <v>59</v>
      </c>
      <c r="D990" s="12" t="s">
        <v>3516</v>
      </c>
      <c r="E990" s="12">
        <v>80</v>
      </c>
      <c r="F990" s="12">
        <v>10000</v>
      </c>
      <c r="G990" s="12">
        <v>600</v>
      </c>
      <c r="H990" s="12">
        <v>6000</v>
      </c>
      <c r="I990" s="12">
        <v>30</v>
      </c>
      <c r="J990" s="12" t="s">
        <v>3517</v>
      </c>
    </row>
    <row r="991" spans="1:10" ht="26.4" customHeight="1">
      <c r="A991" s="12" t="s">
        <v>3518</v>
      </c>
      <c r="B991" s="14" t="str">
        <f t="shared" si="15"/>
        <v>지도</v>
      </c>
      <c r="C991" s="12" t="s">
        <v>3098</v>
      </c>
      <c r="D991" s="12" t="s">
        <v>3519</v>
      </c>
      <c r="E991" s="12">
        <v>80</v>
      </c>
      <c r="F991" s="12">
        <v>10000</v>
      </c>
      <c r="G991" s="12">
        <v>600</v>
      </c>
      <c r="H991" s="12">
        <v>10000</v>
      </c>
      <c r="I991" s="12"/>
      <c r="J991" s="12" t="s">
        <v>3520</v>
      </c>
    </row>
    <row r="992" spans="1:10" ht="26.4" customHeight="1">
      <c r="A992" s="12" t="s">
        <v>3521</v>
      </c>
      <c r="B992" s="14" t="str">
        <f t="shared" si="15"/>
        <v>지도</v>
      </c>
      <c r="C992" s="12" t="s">
        <v>59</v>
      </c>
      <c r="D992" s="12" t="s">
        <v>3522</v>
      </c>
      <c r="E992" s="12">
        <v>34.44</v>
      </c>
      <c r="F992" s="12">
        <v>5000</v>
      </c>
      <c r="G992" s="12">
        <v>320</v>
      </c>
      <c r="H992" s="12">
        <v>4000</v>
      </c>
      <c r="I992" s="12">
        <v>15</v>
      </c>
      <c r="J992" s="12" t="s">
        <v>3523</v>
      </c>
    </row>
    <row r="993" spans="1:10" ht="26.4" customHeight="1">
      <c r="A993" s="12" t="s">
        <v>3524</v>
      </c>
      <c r="B993" s="14" t="str">
        <f t="shared" si="15"/>
        <v>지도</v>
      </c>
      <c r="C993" s="12" t="s">
        <v>59</v>
      </c>
      <c r="D993" s="12" t="s">
        <v>66</v>
      </c>
      <c r="E993" s="12">
        <v>23.34</v>
      </c>
      <c r="F993" s="12">
        <v>5000</v>
      </c>
      <c r="G993" s="12">
        <v>220</v>
      </c>
      <c r="H993" s="12">
        <v>0</v>
      </c>
      <c r="I993" s="12"/>
      <c r="J993" s="12" t="s">
        <v>2008</v>
      </c>
    </row>
    <row r="994" spans="1:10" ht="26.4" customHeight="1">
      <c r="A994" s="12" t="s">
        <v>3525</v>
      </c>
      <c r="B994" s="14" t="str">
        <f t="shared" si="15"/>
        <v>지도</v>
      </c>
      <c r="C994" s="12" t="s">
        <v>59</v>
      </c>
      <c r="D994" s="12" t="s">
        <v>3526</v>
      </c>
      <c r="E994" s="12">
        <v>52</v>
      </c>
      <c r="F994" s="12">
        <v>20000</v>
      </c>
      <c r="G994" s="12">
        <v>600</v>
      </c>
      <c r="H994" s="12">
        <v>3000</v>
      </c>
      <c r="I994" s="12"/>
      <c r="J994" s="12"/>
    </row>
    <row r="995" spans="1:10" ht="26.4" customHeight="1">
      <c r="A995" s="12" t="s">
        <v>3527</v>
      </c>
      <c r="B995" s="14" t="str">
        <f t="shared" si="15"/>
        <v>지도</v>
      </c>
      <c r="C995" s="12" t="s">
        <v>59</v>
      </c>
      <c r="D995" s="12" t="s">
        <v>3528</v>
      </c>
      <c r="E995" s="12">
        <v>45</v>
      </c>
      <c r="F995" s="12">
        <v>4000</v>
      </c>
      <c r="G995" s="12">
        <v>270</v>
      </c>
      <c r="H995" s="12">
        <v>6000</v>
      </c>
      <c r="I995" s="12"/>
      <c r="J995" s="12" t="s">
        <v>3529</v>
      </c>
    </row>
    <row r="996" spans="1:10" ht="26.4" customHeight="1">
      <c r="A996" s="12" t="s">
        <v>3530</v>
      </c>
      <c r="B996" s="14" t="str">
        <f t="shared" si="15"/>
        <v>지도</v>
      </c>
      <c r="C996" s="12" t="s">
        <v>59</v>
      </c>
      <c r="D996" s="12" t="s">
        <v>2773</v>
      </c>
      <c r="E996" s="12">
        <v>61</v>
      </c>
      <c r="F996" s="12">
        <v>6000</v>
      </c>
      <c r="G996" s="12">
        <v>330</v>
      </c>
      <c r="H996" s="12">
        <v>9000</v>
      </c>
      <c r="I996" s="12"/>
      <c r="J996" s="12" t="s">
        <v>3531</v>
      </c>
    </row>
    <row r="997" spans="1:10" ht="26.4" customHeight="1">
      <c r="A997" s="12" t="s">
        <v>3532</v>
      </c>
      <c r="B997" s="14" t="str">
        <f t="shared" si="15"/>
        <v>지도</v>
      </c>
      <c r="C997" s="12" t="s">
        <v>110</v>
      </c>
      <c r="D997" s="12" t="s">
        <v>1827</v>
      </c>
      <c r="E997" s="12">
        <v>174</v>
      </c>
      <c r="F997" s="12">
        <v>5000</v>
      </c>
      <c r="G997" s="12">
        <v>480</v>
      </c>
      <c r="H997" s="12">
        <v>8000</v>
      </c>
      <c r="I997" s="12"/>
      <c r="J997" s="12" t="s">
        <v>3533</v>
      </c>
    </row>
    <row r="998" spans="1:10" ht="26.4" customHeight="1">
      <c r="A998" s="12" t="s">
        <v>3534</v>
      </c>
      <c r="B998" s="14" t="str">
        <f t="shared" si="15"/>
        <v>지도</v>
      </c>
      <c r="C998" s="12" t="s">
        <v>59</v>
      </c>
      <c r="D998" s="12" t="s">
        <v>3535</v>
      </c>
      <c r="E998" s="12">
        <v>40</v>
      </c>
      <c r="F998" s="12">
        <v>5000</v>
      </c>
      <c r="G998" s="12">
        <v>650</v>
      </c>
      <c r="H998" s="12">
        <v>12700</v>
      </c>
      <c r="I998" s="12"/>
      <c r="J998" s="12" t="s">
        <v>3233</v>
      </c>
    </row>
    <row r="999" spans="1:10" ht="26.4" customHeight="1">
      <c r="A999" s="12" t="s">
        <v>3536</v>
      </c>
      <c r="B999" s="14" t="str">
        <f t="shared" si="15"/>
        <v>지도</v>
      </c>
      <c r="C999" s="12" t="s">
        <v>59</v>
      </c>
      <c r="D999" s="12" t="s">
        <v>3537</v>
      </c>
      <c r="E999" s="12">
        <v>37.299999999999997</v>
      </c>
      <c r="F999" s="12">
        <v>10000</v>
      </c>
      <c r="G999" s="12">
        <v>520</v>
      </c>
      <c r="H999" s="12">
        <v>13000</v>
      </c>
      <c r="I999" s="12">
        <v>25</v>
      </c>
      <c r="J999" s="12" t="s">
        <v>3538</v>
      </c>
    </row>
    <row r="1000" spans="1:10" ht="26.4" customHeight="1">
      <c r="A1000" s="12" t="s">
        <v>3539</v>
      </c>
      <c r="B1000" s="14" t="str">
        <f t="shared" si="15"/>
        <v>지도</v>
      </c>
      <c r="C1000" s="12" t="s">
        <v>59</v>
      </c>
      <c r="D1000" s="12" t="s">
        <v>1949</v>
      </c>
      <c r="E1000" s="12">
        <v>37</v>
      </c>
      <c r="F1000" s="12">
        <v>8500</v>
      </c>
      <c r="G1000" s="12">
        <v>640</v>
      </c>
      <c r="H1000" s="12">
        <v>15000</v>
      </c>
      <c r="I1000" s="12"/>
      <c r="J1000" s="12" t="s">
        <v>3129</v>
      </c>
    </row>
    <row r="1001" spans="1:10" ht="26.4" customHeight="1">
      <c r="A1001" s="12" t="s">
        <v>3540</v>
      </c>
      <c r="B1001" s="14" t="str">
        <f t="shared" si="15"/>
        <v>지도</v>
      </c>
      <c r="C1001" s="12" t="s">
        <v>59</v>
      </c>
      <c r="D1001" s="12" t="s">
        <v>3541</v>
      </c>
      <c r="E1001" s="12">
        <v>35</v>
      </c>
      <c r="F1001" s="12">
        <v>10000</v>
      </c>
      <c r="G1001" s="12">
        <v>650</v>
      </c>
      <c r="H1001" s="12">
        <v>25000</v>
      </c>
      <c r="I1001" s="12"/>
      <c r="J1001" s="12" t="s">
        <v>3542</v>
      </c>
    </row>
    <row r="1002" spans="1:10" ht="26.4" customHeight="1">
      <c r="A1002" s="12" t="s">
        <v>3543</v>
      </c>
      <c r="B1002" s="14" t="str">
        <f t="shared" si="15"/>
        <v>지도</v>
      </c>
      <c r="C1002" s="12" t="s">
        <v>59</v>
      </c>
      <c r="D1002" s="12" t="s">
        <v>66</v>
      </c>
      <c r="E1002" s="12">
        <v>20</v>
      </c>
      <c r="F1002" s="12">
        <v>2000</v>
      </c>
      <c r="G1002" s="12">
        <v>150</v>
      </c>
      <c r="H1002" s="12">
        <v>0</v>
      </c>
      <c r="I1002" s="12">
        <v>5</v>
      </c>
      <c r="J1002" s="12" t="s">
        <v>3544</v>
      </c>
    </row>
    <row r="1003" spans="1:10" ht="26.4" customHeight="1">
      <c r="A1003" s="12" t="s">
        <v>3545</v>
      </c>
      <c r="B1003" s="14" t="str">
        <f t="shared" si="15"/>
        <v>지도</v>
      </c>
      <c r="C1003" s="12" t="s">
        <v>59</v>
      </c>
      <c r="D1003" s="12" t="s">
        <v>3546</v>
      </c>
      <c r="E1003" s="12">
        <v>15.16</v>
      </c>
      <c r="F1003" s="12">
        <v>3000</v>
      </c>
      <c r="G1003" s="12">
        <v>230</v>
      </c>
      <c r="H1003" s="12" t="s">
        <v>3190</v>
      </c>
      <c r="I1003" s="12"/>
      <c r="J1003" s="12" t="s">
        <v>2010</v>
      </c>
    </row>
    <row r="1004" spans="1:10" ht="26.4" customHeight="1">
      <c r="A1004" s="12" t="s">
        <v>3547</v>
      </c>
      <c r="B1004" s="14" t="str">
        <f t="shared" si="15"/>
        <v>지도</v>
      </c>
      <c r="C1004" s="12" t="s">
        <v>59</v>
      </c>
      <c r="D1004" s="12" t="s">
        <v>66</v>
      </c>
      <c r="E1004" s="12">
        <v>14.15</v>
      </c>
      <c r="F1004" s="12">
        <v>3000</v>
      </c>
      <c r="G1004" s="12">
        <v>190</v>
      </c>
      <c r="H1004" s="12">
        <v>0</v>
      </c>
      <c r="I1004" s="12"/>
      <c r="J1004" s="12"/>
    </row>
    <row r="1005" spans="1:10" ht="26.4" customHeight="1">
      <c r="A1005" s="12" t="s">
        <v>3548</v>
      </c>
      <c r="B1005" s="14" t="str">
        <f t="shared" si="15"/>
        <v>지도</v>
      </c>
      <c r="C1005" s="12" t="s">
        <v>59</v>
      </c>
      <c r="D1005" s="12" t="s">
        <v>66</v>
      </c>
      <c r="E1005" s="12">
        <v>14.5</v>
      </c>
      <c r="F1005" s="12">
        <v>2000</v>
      </c>
      <c r="G1005" s="12">
        <v>120</v>
      </c>
      <c r="H1005" s="12">
        <v>0</v>
      </c>
      <c r="I1005" s="12"/>
      <c r="J1005" s="12" t="s">
        <v>3523</v>
      </c>
    </row>
    <row r="1006" spans="1:10" ht="26.4" customHeight="1">
      <c r="A1006" s="12" t="s">
        <v>3549</v>
      </c>
      <c r="B1006" s="14" t="str">
        <f t="shared" si="15"/>
        <v>지도</v>
      </c>
      <c r="C1006" s="12" t="s">
        <v>59</v>
      </c>
      <c r="D1006" s="12" t="s">
        <v>66</v>
      </c>
      <c r="E1006" s="12">
        <v>13</v>
      </c>
      <c r="F1006" s="12">
        <v>2000</v>
      </c>
      <c r="G1006" s="12">
        <v>120</v>
      </c>
      <c r="H1006" s="12">
        <v>0</v>
      </c>
      <c r="I1006" s="12"/>
      <c r="J1006" s="12" t="s">
        <v>3550</v>
      </c>
    </row>
    <row r="1007" spans="1:10" ht="26.4" customHeight="1">
      <c r="A1007" s="12" t="s">
        <v>3551</v>
      </c>
      <c r="B1007" s="14" t="str">
        <f t="shared" si="15"/>
        <v>지도</v>
      </c>
      <c r="C1007" s="12" t="s">
        <v>59</v>
      </c>
      <c r="D1007" s="12" t="s">
        <v>3552</v>
      </c>
      <c r="E1007" s="12">
        <v>43.7</v>
      </c>
      <c r="F1007" s="12">
        <v>5000</v>
      </c>
      <c r="G1007" s="12">
        <v>400</v>
      </c>
      <c r="H1007" s="12">
        <v>15000</v>
      </c>
      <c r="I1007" s="12"/>
      <c r="J1007" s="12" t="s">
        <v>3129</v>
      </c>
    </row>
    <row r="1008" spans="1:10" ht="26.4" customHeight="1">
      <c r="A1008" s="12" t="s">
        <v>3553</v>
      </c>
      <c r="B1008" s="14" t="str">
        <f t="shared" si="15"/>
        <v>지도</v>
      </c>
      <c r="C1008" s="12" t="s">
        <v>59</v>
      </c>
      <c r="D1008" s="12" t="s">
        <v>3554</v>
      </c>
      <c r="E1008" s="12">
        <v>57</v>
      </c>
      <c r="F1008" s="12">
        <v>16000</v>
      </c>
      <c r="G1008" s="12">
        <v>750</v>
      </c>
      <c r="H1008" s="12">
        <v>35000</v>
      </c>
      <c r="I1008" s="12"/>
      <c r="J1008" s="12" t="s">
        <v>3542</v>
      </c>
    </row>
    <row r="1009" spans="1:10" ht="26.4" customHeight="1">
      <c r="A1009" s="12" t="s">
        <v>3555</v>
      </c>
      <c r="B1009" s="14" t="str">
        <f t="shared" si="15"/>
        <v>지도</v>
      </c>
      <c r="C1009" s="12" t="s">
        <v>59</v>
      </c>
      <c r="D1009" s="12" t="s">
        <v>3556</v>
      </c>
      <c r="E1009" s="12">
        <v>42</v>
      </c>
      <c r="F1009" s="12">
        <v>10000</v>
      </c>
      <c r="G1009" s="12">
        <v>700</v>
      </c>
      <c r="H1009" s="12">
        <v>10000</v>
      </c>
      <c r="I1009" s="12"/>
      <c r="J1009" s="12"/>
    </row>
    <row r="1010" spans="1:10" ht="26.4" customHeight="1">
      <c r="A1010" s="12" t="s">
        <v>3557</v>
      </c>
      <c r="B1010" s="14" t="str">
        <f t="shared" si="15"/>
        <v>지도</v>
      </c>
      <c r="C1010" s="12" t="s">
        <v>2534</v>
      </c>
      <c r="D1010" s="12" t="s">
        <v>66</v>
      </c>
      <c r="E1010" s="12">
        <v>133</v>
      </c>
      <c r="F1010" s="12">
        <v>15000</v>
      </c>
      <c r="G1010" s="12">
        <v>1200</v>
      </c>
      <c r="H1010" s="12">
        <v>0</v>
      </c>
      <c r="I1010" s="12"/>
      <c r="J1010" s="12" t="s">
        <v>3558</v>
      </c>
    </row>
    <row r="1011" spans="1:10" ht="26.4" customHeight="1">
      <c r="A1011" s="12" t="s">
        <v>3559</v>
      </c>
      <c r="B1011" s="14" t="str">
        <f t="shared" si="15"/>
        <v>지도</v>
      </c>
      <c r="C1011" s="12" t="s">
        <v>59</v>
      </c>
      <c r="D1011" s="12" t="s">
        <v>3560</v>
      </c>
      <c r="E1011" s="12">
        <v>51</v>
      </c>
      <c r="F1011" s="12">
        <v>20000</v>
      </c>
      <c r="G1011" s="12">
        <v>1500</v>
      </c>
      <c r="H1011" s="12">
        <v>5000</v>
      </c>
      <c r="I1011" s="12"/>
      <c r="J1011" s="12"/>
    </row>
    <row r="1012" spans="1:10" ht="26.4" customHeight="1">
      <c r="A1012" s="12" t="s">
        <v>3559</v>
      </c>
      <c r="B1012" s="14" t="str">
        <f t="shared" si="15"/>
        <v>지도</v>
      </c>
      <c r="C1012" s="12" t="s">
        <v>59</v>
      </c>
      <c r="D1012" s="12" t="s">
        <v>3561</v>
      </c>
      <c r="E1012" s="12">
        <v>55</v>
      </c>
      <c r="F1012" s="12">
        <v>20000</v>
      </c>
      <c r="G1012" s="12">
        <v>1500</v>
      </c>
      <c r="H1012" s="12">
        <v>0</v>
      </c>
      <c r="I1012" s="12">
        <v>300</v>
      </c>
      <c r="J1012" s="12" t="s">
        <v>3562</v>
      </c>
    </row>
    <row r="1013" spans="1:10" ht="26.4" customHeight="1">
      <c r="A1013" s="12" t="s">
        <v>3563</v>
      </c>
      <c r="B1013" s="14" t="str">
        <f t="shared" si="15"/>
        <v>지도</v>
      </c>
      <c r="C1013" s="12" t="s">
        <v>59</v>
      </c>
      <c r="D1013" s="12" t="s">
        <v>66</v>
      </c>
      <c r="E1013" s="12">
        <v>41</v>
      </c>
      <c r="F1013" s="12">
        <v>7000</v>
      </c>
      <c r="G1013" s="12">
        <v>600</v>
      </c>
      <c r="H1013" s="12">
        <v>0</v>
      </c>
      <c r="I1013" s="12">
        <v>60</v>
      </c>
      <c r="J1013" s="12" t="s">
        <v>3531</v>
      </c>
    </row>
    <row r="1014" spans="1:10" ht="26.4" customHeight="1">
      <c r="A1014" s="12" t="s">
        <v>3564</v>
      </c>
      <c r="B1014" s="14" t="str">
        <f t="shared" si="15"/>
        <v>지도</v>
      </c>
      <c r="C1014" s="12" t="s">
        <v>59</v>
      </c>
      <c r="D1014" s="12" t="s">
        <v>3565</v>
      </c>
      <c r="E1014" s="12">
        <v>60</v>
      </c>
      <c r="F1014" s="12">
        <v>5000</v>
      </c>
      <c r="G1014" s="12">
        <v>410</v>
      </c>
      <c r="H1014" s="12">
        <v>30000</v>
      </c>
      <c r="I1014" s="12">
        <v>31.5</v>
      </c>
      <c r="J1014" s="12" t="s">
        <v>3121</v>
      </c>
    </row>
    <row r="1015" spans="1:10" ht="26.4" customHeight="1">
      <c r="A1015" s="12" t="s">
        <v>3566</v>
      </c>
      <c r="B1015" s="14" t="str">
        <f t="shared" si="15"/>
        <v>지도</v>
      </c>
      <c r="C1015" s="12" t="s">
        <v>59</v>
      </c>
      <c r="D1015" s="12" t="s">
        <v>66</v>
      </c>
      <c r="E1015" s="12">
        <v>30</v>
      </c>
      <c r="F1015" s="12">
        <v>5000</v>
      </c>
      <c r="G1015" s="12">
        <v>400</v>
      </c>
      <c r="H1015" s="12">
        <v>0</v>
      </c>
      <c r="I1015" s="12"/>
      <c r="J1015" s="12"/>
    </row>
    <row r="1016" spans="1:10" ht="26.4" customHeight="1">
      <c r="A1016" s="12" t="s">
        <v>3567</v>
      </c>
      <c r="B1016" s="14" t="str">
        <f t="shared" si="15"/>
        <v>지도</v>
      </c>
      <c r="C1016" s="12" t="s">
        <v>59</v>
      </c>
      <c r="D1016" s="12" t="s">
        <v>3568</v>
      </c>
      <c r="E1016" s="12">
        <v>30</v>
      </c>
      <c r="F1016" s="12">
        <v>5000</v>
      </c>
      <c r="G1016" s="12">
        <v>450</v>
      </c>
      <c r="H1016" s="12">
        <v>0</v>
      </c>
      <c r="I1016" s="12"/>
      <c r="J1016" s="12" t="s">
        <v>2886</v>
      </c>
    </row>
    <row r="1017" spans="1:10" ht="26.4" customHeight="1">
      <c r="A1017" s="12" t="s">
        <v>3569</v>
      </c>
      <c r="B1017" s="14" t="str">
        <f t="shared" si="15"/>
        <v>지도</v>
      </c>
      <c r="C1017" s="12" t="s">
        <v>110</v>
      </c>
      <c r="D1017" s="12" t="s">
        <v>3570</v>
      </c>
      <c r="E1017" s="12">
        <v>55</v>
      </c>
      <c r="F1017" s="12">
        <v>5000</v>
      </c>
      <c r="G1017" s="12">
        <v>500</v>
      </c>
      <c r="H1017" s="12" t="s">
        <v>3571</v>
      </c>
      <c r="I1017" s="12"/>
      <c r="J1017" s="12" t="s">
        <v>3121</v>
      </c>
    </row>
    <row r="1018" spans="1:10" ht="26.4" customHeight="1">
      <c r="A1018" s="12" t="s">
        <v>3572</v>
      </c>
      <c r="B1018" s="14" t="str">
        <f t="shared" si="15"/>
        <v>지도</v>
      </c>
      <c r="C1018" s="12" t="s">
        <v>59</v>
      </c>
      <c r="D1018" s="12" t="s">
        <v>3573</v>
      </c>
      <c r="E1018" s="12">
        <v>51.5</v>
      </c>
      <c r="F1018" s="12">
        <v>25000</v>
      </c>
      <c r="G1018" s="12">
        <v>1225</v>
      </c>
      <c r="H1018" s="12">
        <v>6000</v>
      </c>
      <c r="I1018" s="12">
        <v>170</v>
      </c>
      <c r="J1018" s="12" t="s">
        <v>3574</v>
      </c>
    </row>
    <row r="1020" spans="1:10" ht="26.4" customHeight="1">
      <c r="A1020" s="13" t="s">
        <v>0</v>
      </c>
      <c r="B1020" s="13" t="s">
        <v>925</v>
      </c>
      <c r="C1020" s="13" t="s">
        <v>2</v>
      </c>
      <c r="D1020" s="13" t="s">
        <v>1453</v>
      </c>
      <c r="E1020" s="13" t="s">
        <v>3</v>
      </c>
      <c r="F1020" s="13" t="s">
        <v>919</v>
      </c>
      <c r="G1020" s="13" t="s">
        <v>920</v>
      </c>
      <c r="H1020" s="13" t="s">
        <v>921</v>
      </c>
      <c r="I1020" s="13" t="s">
        <v>922</v>
      </c>
      <c r="J1020" s="13" t="s">
        <v>8</v>
      </c>
    </row>
    <row r="1021" spans="1:10" ht="26.4" customHeight="1">
      <c r="A1021" s="12" t="s">
        <v>3411</v>
      </c>
      <c r="B1021" s="14" t="str">
        <f t="shared" ref="B1021:B1075" si="16">HYPERLINK("https://map.naver.com/v5/search/" &amp; A1021, "지도")</f>
        <v>지도</v>
      </c>
      <c r="C1021" s="12" t="s">
        <v>3074</v>
      </c>
      <c r="D1021" s="12" t="s">
        <v>66</v>
      </c>
      <c r="E1021" s="12">
        <v>140</v>
      </c>
      <c r="F1021" s="12">
        <v>20000</v>
      </c>
      <c r="G1021" s="12">
        <v>1200</v>
      </c>
      <c r="H1021" s="12">
        <v>0</v>
      </c>
      <c r="I1021" s="12"/>
      <c r="J1021" s="12" t="s">
        <v>3575</v>
      </c>
    </row>
    <row r="1022" spans="1:10" ht="26.4" customHeight="1">
      <c r="A1022" s="12" t="s">
        <v>3576</v>
      </c>
      <c r="B1022" s="14" t="str">
        <f t="shared" si="16"/>
        <v>지도</v>
      </c>
      <c r="C1022" s="12" t="s">
        <v>59</v>
      </c>
      <c r="D1022" s="12" t="s">
        <v>66</v>
      </c>
      <c r="E1022" s="12">
        <v>52</v>
      </c>
      <c r="F1022" s="12">
        <v>10000</v>
      </c>
      <c r="G1022" s="12">
        <v>720</v>
      </c>
      <c r="H1022" s="12">
        <v>0</v>
      </c>
      <c r="I1022" s="12"/>
      <c r="J1022" s="12"/>
    </row>
    <row r="1023" spans="1:10" ht="26.4" customHeight="1">
      <c r="A1023" s="12" t="s">
        <v>3577</v>
      </c>
      <c r="B1023" s="14" t="str">
        <f t="shared" si="16"/>
        <v>지도</v>
      </c>
      <c r="C1023" s="12" t="s">
        <v>59</v>
      </c>
      <c r="D1023" s="12" t="s">
        <v>3578</v>
      </c>
      <c r="E1023" s="12">
        <v>100</v>
      </c>
      <c r="F1023" s="12">
        <v>10000</v>
      </c>
      <c r="G1023" s="12">
        <v>1000</v>
      </c>
      <c r="H1023" s="12">
        <v>10000</v>
      </c>
      <c r="I1023" s="12"/>
      <c r="J1023" s="12" t="s">
        <v>3579</v>
      </c>
    </row>
    <row r="1024" spans="1:10" ht="26.4" customHeight="1">
      <c r="A1024" s="12" t="s">
        <v>3580</v>
      </c>
      <c r="B1024" s="14" t="str">
        <f t="shared" si="16"/>
        <v>지도</v>
      </c>
      <c r="C1024" s="12" t="s">
        <v>2386</v>
      </c>
      <c r="D1024" s="12" t="s">
        <v>66</v>
      </c>
      <c r="E1024" s="12">
        <v>87</v>
      </c>
      <c r="F1024" s="12" t="s">
        <v>3581</v>
      </c>
      <c r="G1024" s="12" t="s">
        <v>3582</v>
      </c>
      <c r="H1024" s="12">
        <v>0</v>
      </c>
      <c r="I1024" s="12"/>
      <c r="J1024" s="12" t="s">
        <v>3583</v>
      </c>
    </row>
    <row r="1025" spans="1:10" ht="26.4" customHeight="1">
      <c r="A1025" s="12" t="s">
        <v>3584</v>
      </c>
      <c r="B1025" s="14" t="str">
        <f t="shared" si="16"/>
        <v>지도</v>
      </c>
      <c r="C1025" s="12" t="s">
        <v>2386</v>
      </c>
      <c r="D1025" s="12" t="s">
        <v>66</v>
      </c>
      <c r="E1025" s="12">
        <v>40</v>
      </c>
      <c r="F1025" s="12">
        <v>10000</v>
      </c>
      <c r="G1025" s="12">
        <v>800</v>
      </c>
      <c r="H1025" s="12">
        <v>0</v>
      </c>
      <c r="I1025" s="12"/>
      <c r="J1025" s="12" t="s">
        <v>3585</v>
      </c>
    </row>
    <row r="1026" spans="1:10" ht="26.4" customHeight="1">
      <c r="A1026" s="12" t="s">
        <v>3586</v>
      </c>
      <c r="B1026" s="14" t="str">
        <f t="shared" si="16"/>
        <v>지도</v>
      </c>
      <c r="C1026" s="12" t="s">
        <v>3587</v>
      </c>
      <c r="D1026" s="12" t="s">
        <v>3588</v>
      </c>
      <c r="E1026" s="12">
        <v>46</v>
      </c>
      <c r="F1026" s="12">
        <v>6000</v>
      </c>
      <c r="G1026" s="12">
        <v>350</v>
      </c>
      <c r="H1026" s="12">
        <v>8000</v>
      </c>
      <c r="I1026" s="12"/>
      <c r="J1026" s="12" t="s">
        <v>3121</v>
      </c>
    </row>
    <row r="1027" spans="1:10" ht="26.4" customHeight="1">
      <c r="A1027" s="12" t="s">
        <v>3589</v>
      </c>
      <c r="B1027" s="14" t="str">
        <f t="shared" si="16"/>
        <v>지도</v>
      </c>
      <c r="C1027" s="12" t="s">
        <v>59</v>
      </c>
      <c r="D1027" s="12" t="s">
        <v>3590</v>
      </c>
      <c r="E1027" s="12">
        <v>17</v>
      </c>
      <c r="F1027" s="12">
        <v>3000</v>
      </c>
      <c r="G1027" s="12">
        <v>270</v>
      </c>
      <c r="H1027" s="12">
        <v>1000</v>
      </c>
      <c r="I1027" s="12"/>
      <c r="J1027" s="12"/>
    </row>
    <row r="1028" spans="1:10" ht="26.4" customHeight="1">
      <c r="A1028" s="12" t="s">
        <v>3591</v>
      </c>
      <c r="B1028" s="14" t="str">
        <f t="shared" si="16"/>
        <v>지도</v>
      </c>
      <c r="C1028" s="12" t="s">
        <v>59</v>
      </c>
      <c r="D1028" s="12" t="s">
        <v>3592</v>
      </c>
      <c r="E1028" s="12">
        <v>25</v>
      </c>
      <c r="F1028" s="12">
        <v>3000</v>
      </c>
      <c r="G1028" s="12">
        <v>435</v>
      </c>
      <c r="H1028" s="12">
        <v>13500</v>
      </c>
      <c r="I1028" s="12">
        <v>60</v>
      </c>
      <c r="J1028" s="12" t="s">
        <v>3531</v>
      </c>
    </row>
    <row r="1029" spans="1:10" ht="26.4" customHeight="1">
      <c r="A1029" s="12" t="s">
        <v>3593</v>
      </c>
      <c r="B1029" s="14" t="str">
        <f t="shared" si="16"/>
        <v>지도</v>
      </c>
      <c r="C1029" s="12" t="s">
        <v>59</v>
      </c>
      <c r="D1029" s="12" t="s">
        <v>3594</v>
      </c>
      <c r="E1029" s="12">
        <v>31</v>
      </c>
      <c r="F1029" s="12">
        <v>3500</v>
      </c>
      <c r="G1029" s="12">
        <v>350</v>
      </c>
      <c r="H1029" s="12">
        <v>3500</v>
      </c>
      <c r="I1029" s="12"/>
      <c r="J1029" s="12"/>
    </row>
    <row r="1030" spans="1:10" ht="26.4" customHeight="1">
      <c r="A1030" s="12" t="s">
        <v>2628</v>
      </c>
      <c r="B1030" s="14" t="str">
        <f t="shared" si="16"/>
        <v>지도</v>
      </c>
      <c r="C1030" s="12" t="s">
        <v>59</v>
      </c>
      <c r="D1030" s="12" t="s">
        <v>2629</v>
      </c>
      <c r="E1030" s="12">
        <v>50</v>
      </c>
      <c r="F1030" s="12">
        <v>6000</v>
      </c>
      <c r="G1030" s="12">
        <v>600</v>
      </c>
      <c r="H1030" s="12">
        <v>19000</v>
      </c>
      <c r="I1030" s="12">
        <v>170</v>
      </c>
      <c r="J1030" s="12" t="s">
        <v>3595</v>
      </c>
    </row>
    <row r="1031" spans="1:10" ht="26.4" customHeight="1">
      <c r="A1031" s="12" t="s">
        <v>2398</v>
      </c>
      <c r="B1031" s="14" t="str">
        <f t="shared" si="16"/>
        <v>지도</v>
      </c>
      <c r="C1031" s="12" t="s">
        <v>59</v>
      </c>
      <c r="D1031" s="12" t="s">
        <v>3596</v>
      </c>
      <c r="E1031" s="12">
        <v>15</v>
      </c>
      <c r="F1031" s="12">
        <v>1000</v>
      </c>
      <c r="G1031" s="12">
        <v>150</v>
      </c>
      <c r="H1031" s="12">
        <v>1000</v>
      </c>
      <c r="I1031" s="12"/>
      <c r="J1031" s="12"/>
    </row>
    <row r="1032" spans="1:10" ht="26.4" customHeight="1">
      <c r="A1032" s="12" t="s">
        <v>3597</v>
      </c>
      <c r="B1032" s="14" t="str">
        <f t="shared" si="16"/>
        <v>지도</v>
      </c>
      <c r="C1032" s="12" t="s">
        <v>59</v>
      </c>
      <c r="D1032" s="12" t="s">
        <v>3598</v>
      </c>
      <c r="E1032" s="12">
        <v>15</v>
      </c>
      <c r="F1032" s="12">
        <v>2000</v>
      </c>
      <c r="G1032" s="12">
        <v>130</v>
      </c>
      <c r="H1032" s="12">
        <v>500</v>
      </c>
      <c r="I1032" s="12">
        <v>4</v>
      </c>
      <c r="J1032" s="12" t="s">
        <v>2016</v>
      </c>
    </row>
    <row r="1033" spans="1:10" ht="26.4" customHeight="1">
      <c r="A1033" s="12" t="s">
        <v>3599</v>
      </c>
      <c r="B1033" s="14" t="str">
        <f t="shared" si="16"/>
        <v>지도</v>
      </c>
      <c r="C1033" s="12" t="s">
        <v>59</v>
      </c>
      <c r="D1033" s="12" t="s">
        <v>66</v>
      </c>
      <c r="E1033" s="12">
        <v>20</v>
      </c>
      <c r="F1033" s="12">
        <v>5000</v>
      </c>
      <c r="G1033" s="12">
        <v>270</v>
      </c>
      <c r="H1033" s="12">
        <v>0</v>
      </c>
      <c r="I1033" s="12"/>
      <c r="J1033" s="12"/>
    </row>
    <row r="1034" spans="1:10" ht="26.4" customHeight="1">
      <c r="A1034" s="12" t="s">
        <v>3600</v>
      </c>
      <c r="B1034" s="14" t="str">
        <f t="shared" si="16"/>
        <v>지도</v>
      </c>
      <c r="C1034" s="12" t="s">
        <v>59</v>
      </c>
      <c r="D1034" s="12" t="s">
        <v>66</v>
      </c>
      <c r="E1034" s="12">
        <v>14</v>
      </c>
      <c r="F1034" s="12">
        <v>4000</v>
      </c>
      <c r="G1034" s="12">
        <v>200</v>
      </c>
      <c r="H1034" s="12">
        <v>0</v>
      </c>
      <c r="I1034" s="12"/>
      <c r="J1034" s="12"/>
    </row>
    <row r="1035" spans="1:10" ht="26.4" customHeight="1">
      <c r="A1035" s="12" t="s">
        <v>3601</v>
      </c>
      <c r="B1035" s="14" t="str">
        <f t="shared" si="16"/>
        <v>지도</v>
      </c>
      <c r="C1035" s="12" t="s">
        <v>59</v>
      </c>
      <c r="D1035" s="12" t="s">
        <v>66</v>
      </c>
      <c r="E1035" s="12">
        <v>21</v>
      </c>
      <c r="F1035" s="12">
        <v>3000</v>
      </c>
      <c r="G1035" s="12">
        <v>270</v>
      </c>
      <c r="H1035" s="12">
        <v>0</v>
      </c>
      <c r="I1035" s="12">
        <v>12.6</v>
      </c>
      <c r="J1035" s="12"/>
    </row>
    <row r="1036" spans="1:10" ht="26.4" customHeight="1">
      <c r="A1036" s="12" t="s">
        <v>2631</v>
      </c>
      <c r="B1036" s="14" t="str">
        <f t="shared" si="16"/>
        <v>지도</v>
      </c>
      <c r="C1036" s="12" t="s">
        <v>59</v>
      </c>
      <c r="D1036" s="12" t="s">
        <v>2632</v>
      </c>
      <c r="E1036" s="12">
        <v>45</v>
      </c>
      <c r="F1036" s="12">
        <v>5000</v>
      </c>
      <c r="G1036" s="12">
        <v>467</v>
      </c>
      <c r="H1036" s="12">
        <v>5000</v>
      </c>
      <c r="I1036" s="12"/>
      <c r="J1036" s="12"/>
    </row>
    <row r="1037" spans="1:10" ht="26.4" customHeight="1">
      <c r="A1037" s="12" t="s">
        <v>3602</v>
      </c>
      <c r="B1037" s="14" t="str">
        <f t="shared" si="16"/>
        <v>지도</v>
      </c>
      <c r="C1037" s="12" t="s">
        <v>59</v>
      </c>
      <c r="D1037" s="12" t="s">
        <v>3603</v>
      </c>
      <c r="E1037" s="12">
        <v>33</v>
      </c>
      <c r="F1037" s="12">
        <v>8000</v>
      </c>
      <c r="G1037" s="12">
        <v>714</v>
      </c>
      <c r="H1037" s="12">
        <v>11000</v>
      </c>
      <c r="I1037" s="12"/>
      <c r="J1037" s="12" t="s">
        <v>3604</v>
      </c>
    </row>
    <row r="1038" spans="1:10" ht="26.4" customHeight="1">
      <c r="A1038" s="12" t="s">
        <v>3605</v>
      </c>
      <c r="B1038" s="14" t="str">
        <f t="shared" si="16"/>
        <v>지도</v>
      </c>
      <c r="C1038" s="12" t="s">
        <v>59</v>
      </c>
      <c r="D1038" s="12" t="s">
        <v>3606</v>
      </c>
      <c r="E1038" s="12">
        <v>23</v>
      </c>
      <c r="F1038" s="12">
        <v>10000</v>
      </c>
      <c r="G1038" s="12">
        <v>680</v>
      </c>
      <c r="H1038" s="12">
        <v>4000</v>
      </c>
      <c r="I1038" s="12">
        <v>110</v>
      </c>
      <c r="J1038" s="12"/>
    </row>
    <row r="1039" spans="1:10" ht="26.4" customHeight="1">
      <c r="A1039" s="12" t="s">
        <v>3605</v>
      </c>
      <c r="B1039" s="14" t="str">
        <f t="shared" si="16"/>
        <v>지도</v>
      </c>
      <c r="C1039" s="12" t="s">
        <v>59</v>
      </c>
      <c r="D1039" s="12" t="s">
        <v>3607</v>
      </c>
      <c r="E1039" s="12">
        <v>22</v>
      </c>
      <c r="F1039" s="12">
        <v>10000</v>
      </c>
      <c r="G1039" s="12">
        <v>800</v>
      </c>
      <c r="H1039" s="12">
        <v>0</v>
      </c>
      <c r="I1039" s="12">
        <v>10</v>
      </c>
      <c r="J1039" s="12"/>
    </row>
    <row r="1040" spans="1:10" ht="26.4" customHeight="1">
      <c r="A1040" s="12" t="s">
        <v>3608</v>
      </c>
      <c r="B1040" s="14" t="str">
        <f t="shared" si="16"/>
        <v>지도</v>
      </c>
      <c r="C1040" s="12" t="s">
        <v>59</v>
      </c>
      <c r="D1040" s="12" t="s">
        <v>3295</v>
      </c>
      <c r="E1040" s="12">
        <v>24</v>
      </c>
      <c r="F1040" s="12">
        <v>7000</v>
      </c>
      <c r="G1040" s="12">
        <v>600</v>
      </c>
      <c r="H1040" s="12">
        <v>7000</v>
      </c>
      <c r="I1040" s="12">
        <v>70</v>
      </c>
      <c r="J1040" s="12"/>
    </row>
    <row r="1041" spans="1:10" ht="26.4" customHeight="1">
      <c r="A1041" s="12" t="s">
        <v>3609</v>
      </c>
      <c r="B1041" s="14" t="str">
        <f t="shared" si="16"/>
        <v>지도</v>
      </c>
      <c r="C1041" s="12" t="s">
        <v>59</v>
      </c>
      <c r="D1041" s="12" t="s">
        <v>2581</v>
      </c>
      <c r="E1041" s="12">
        <v>28</v>
      </c>
      <c r="F1041" s="12">
        <v>5000</v>
      </c>
      <c r="G1041" s="12">
        <v>500</v>
      </c>
      <c r="H1041" s="12">
        <v>2000</v>
      </c>
      <c r="I1041" s="12">
        <v>20</v>
      </c>
      <c r="J1041" s="12"/>
    </row>
    <row r="1042" spans="1:10" ht="26.4" customHeight="1">
      <c r="A1042" s="12" t="s">
        <v>3610</v>
      </c>
      <c r="B1042" s="14" t="str">
        <f t="shared" si="16"/>
        <v>지도</v>
      </c>
      <c r="C1042" s="12" t="s">
        <v>59</v>
      </c>
      <c r="D1042" s="12" t="s">
        <v>3611</v>
      </c>
      <c r="E1042" s="12">
        <v>50</v>
      </c>
      <c r="F1042" s="12">
        <v>6000</v>
      </c>
      <c r="G1042" s="12">
        <v>460</v>
      </c>
      <c r="H1042" s="12">
        <v>5000</v>
      </c>
      <c r="I1042" s="12">
        <v>70</v>
      </c>
      <c r="J1042" s="12"/>
    </row>
    <row r="1043" spans="1:10" ht="26.4" customHeight="1">
      <c r="A1043" s="12" t="s">
        <v>3612</v>
      </c>
      <c r="B1043" s="14" t="str">
        <f t="shared" si="16"/>
        <v>지도</v>
      </c>
      <c r="C1043" s="12" t="s">
        <v>59</v>
      </c>
      <c r="D1043" s="12" t="s">
        <v>3613</v>
      </c>
      <c r="E1043" s="12">
        <v>28</v>
      </c>
      <c r="F1043" s="12">
        <v>3000</v>
      </c>
      <c r="G1043" s="12">
        <v>350</v>
      </c>
      <c r="H1043" s="12">
        <v>5000</v>
      </c>
      <c r="I1043" s="12">
        <v>10</v>
      </c>
      <c r="J1043" s="12"/>
    </row>
    <row r="1044" spans="1:10" ht="26.4" customHeight="1">
      <c r="A1044" s="12" t="s">
        <v>3614</v>
      </c>
      <c r="B1044" s="14" t="str">
        <f t="shared" si="16"/>
        <v>지도</v>
      </c>
      <c r="C1044" s="12" t="s">
        <v>59</v>
      </c>
      <c r="D1044" s="12" t="s">
        <v>66</v>
      </c>
      <c r="E1044" s="12">
        <v>40</v>
      </c>
      <c r="F1044" s="12">
        <v>5000</v>
      </c>
      <c r="G1044" s="12">
        <v>400</v>
      </c>
      <c r="H1044" s="12">
        <v>0</v>
      </c>
      <c r="I1044" s="12">
        <v>80</v>
      </c>
      <c r="J1044" s="12"/>
    </row>
    <row r="1045" spans="1:10" ht="26.4" customHeight="1">
      <c r="A1045" s="12" t="s">
        <v>3615</v>
      </c>
      <c r="B1045" s="14" t="str">
        <f t="shared" si="16"/>
        <v>지도</v>
      </c>
      <c r="C1045" s="12" t="s">
        <v>59</v>
      </c>
      <c r="D1045" s="12" t="s">
        <v>3616</v>
      </c>
      <c r="E1045" s="12">
        <v>33</v>
      </c>
      <c r="F1045" s="12">
        <v>8000</v>
      </c>
      <c r="G1045" s="12">
        <v>600</v>
      </c>
      <c r="H1045" s="12">
        <v>0</v>
      </c>
      <c r="I1045" s="12">
        <v>40</v>
      </c>
      <c r="J1045" s="12"/>
    </row>
    <row r="1046" spans="1:10" ht="26.4" customHeight="1">
      <c r="A1046" s="12" t="s">
        <v>3617</v>
      </c>
      <c r="B1046" s="14" t="str">
        <f t="shared" si="16"/>
        <v>지도</v>
      </c>
      <c r="C1046" s="12" t="s">
        <v>59</v>
      </c>
      <c r="D1046" s="12" t="s">
        <v>3618</v>
      </c>
      <c r="E1046" s="12">
        <v>26</v>
      </c>
      <c r="F1046" s="12">
        <v>5000</v>
      </c>
      <c r="G1046" s="12">
        <v>350</v>
      </c>
      <c r="H1046" s="12">
        <v>3500</v>
      </c>
      <c r="I1046" s="12">
        <v>0</v>
      </c>
      <c r="J1046" s="12"/>
    </row>
    <row r="1047" spans="1:10" ht="26.4" customHeight="1">
      <c r="A1047" s="12" t="s">
        <v>1762</v>
      </c>
      <c r="B1047" s="14" t="str">
        <f t="shared" si="16"/>
        <v>지도</v>
      </c>
      <c r="C1047" s="12" t="s">
        <v>59</v>
      </c>
      <c r="D1047" s="12" t="s">
        <v>3619</v>
      </c>
      <c r="E1047" s="12">
        <v>50</v>
      </c>
      <c r="F1047" s="12">
        <v>3000</v>
      </c>
      <c r="G1047" s="12">
        <v>490</v>
      </c>
      <c r="H1047" s="12">
        <v>5000</v>
      </c>
      <c r="I1047" s="12">
        <v>40</v>
      </c>
      <c r="J1047" s="12"/>
    </row>
    <row r="1048" spans="1:10" ht="26.4" customHeight="1">
      <c r="A1048" s="12" t="s">
        <v>3620</v>
      </c>
      <c r="B1048" s="14" t="str">
        <f t="shared" si="16"/>
        <v>지도</v>
      </c>
      <c r="C1048" s="12" t="s">
        <v>59</v>
      </c>
      <c r="D1048" s="12" t="s">
        <v>3621</v>
      </c>
      <c r="E1048" s="12">
        <v>10</v>
      </c>
      <c r="F1048" s="12">
        <v>5000</v>
      </c>
      <c r="G1048" s="12">
        <v>200</v>
      </c>
      <c r="H1048" s="12">
        <v>8000</v>
      </c>
      <c r="I1048" s="12">
        <v>17</v>
      </c>
      <c r="J1048" s="12"/>
    </row>
    <row r="1049" spans="1:10" ht="26.4" customHeight="1">
      <c r="A1049" s="12" t="s">
        <v>3622</v>
      </c>
      <c r="B1049" s="14" t="str">
        <f t="shared" si="16"/>
        <v>지도</v>
      </c>
      <c r="C1049" s="12" t="s">
        <v>59</v>
      </c>
      <c r="D1049" s="12" t="s">
        <v>3623</v>
      </c>
      <c r="E1049" s="12">
        <v>27</v>
      </c>
      <c r="F1049" s="12">
        <v>4000</v>
      </c>
      <c r="G1049" s="12">
        <v>320</v>
      </c>
      <c r="H1049" s="12">
        <v>0</v>
      </c>
      <c r="I1049" s="12"/>
      <c r="J1049" s="12"/>
    </row>
    <row r="1050" spans="1:10" ht="26.4" customHeight="1">
      <c r="A1050" s="12" t="s">
        <v>3624</v>
      </c>
      <c r="B1050" s="14" t="str">
        <f t="shared" si="16"/>
        <v>지도</v>
      </c>
      <c r="C1050" s="12" t="s">
        <v>59</v>
      </c>
      <c r="D1050" s="12" t="s">
        <v>3625</v>
      </c>
      <c r="E1050" s="12">
        <v>30</v>
      </c>
      <c r="F1050" s="12">
        <v>5000</v>
      </c>
      <c r="G1050" s="12">
        <v>374</v>
      </c>
      <c r="H1050" s="12">
        <v>5000</v>
      </c>
      <c r="I1050" s="12"/>
      <c r="J1050" s="12"/>
    </row>
    <row r="1051" spans="1:10" ht="26.4" customHeight="1">
      <c r="A1051" s="12" t="s">
        <v>3626</v>
      </c>
      <c r="B1051" s="14" t="str">
        <f t="shared" si="16"/>
        <v>지도</v>
      </c>
      <c r="C1051" s="12" t="s">
        <v>59</v>
      </c>
      <c r="D1051" s="12" t="s">
        <v>3627</v>
      </c>
      <c r="E1051" s="12">
        <v>47</v>
      </c>
      <c r="F1051" s="12">
        <v>20000</v>
      </c>
      <c r="G1051" s="12">
        <v>850</v>
      </c>
      <c r="H1051" s="12">
        <v>10000</v>
      </c>
      <c r="I1051" s="12">
        <v>54</v>
      </c>
      <c r="J1051" s="12" t="s">
        <v>3531</v>
      </c>
    </row>
    <row r="1052" spans="1:10" ht="26.4" customHeight="1">
      <c r="A1052" s="12" t="s">
        <v>3628</v>
      </c>
      <c r="B1052" s="14" t="str">
        <f t="shared" si="16"/>
        <v>지도</v>
      </c>
      <c r="C1052" s="12" t="s">
        <v>59</v>
      </c>
      <c r="D1052" s="12" t="s">
        <v>66</v>
      </c>
      <c r="E1052" s="12">
        <v>100</v>
      </c>
      <c r="F1052" s="12">
        <v>10000</v>
      </c>
      <c r="G1052" s="12">
        <v>800</v>
      </c>
      <c r="H1052" s="12">
        <v>0</v>
      </c>
      <c r="I1052" s="12">
        <v>119</v>
      </c>
      <c r="J1052" s="12" t="s">
        <v>2010</v>
      </c>
    </row>
    <row r="1053" spans="1:10" ht="26.4" customHeight="1">
      <c r="A1053" s="12" t="s">
        <v>3629</v>
      </c>
      <c r="B1053" s="14" t="str">
        <f t="shared" si="16"/>
        <v>지도</v>
      </c>
      <c r="C1053" s="12" t="s">
        <v>59</v>
      </c>
      <c r="D1053" s="12" t="s">
        <v>3630</v>
      </c>
      <c r="E1053" s="12">
        <v>42.35</v>
      </c>
      <c r="F1053" s="12">
        <v>5000</v>
      </c>
      <c r="G1053" s="12">
        <v>400</v>
      </c>
      <c r="H1053" s="12">
        <v>9000</v>
      </c>
      <c r="I1053" s="12">
        <v>15</v>
      </c>
      <c r="J1053" s="12" t="s">
        <v>3121</v>
      </c>
    </row>
    <row r="1054" spans="1:10" ht="26.4" customHeight="1">
      <c r="A1054" s="12" t="s">
        <v>3631</v>
      </c>
      <c r="B1054" s="14" t="str">
        <f t="shared" si="16"/>
        <v>지도</v>
      </c>
      <c r="C1054" s="12" t="s">
        <v>59</v>
      </c>
      <c r="D1054" s="12" t="s">
        <v>66</v>
      </c>
      <c r="E1054" s="12">
        <v>50</v>
      </c>
      <c r="F1054" s="12">
        <v>20000</v>
      </c>
      <c r="G1054" s="12">
        <v>1300</v>
      </c>
      <c r="H1054" s="12">
        <v>0</v>
      </c>
      <c r="I1054" s="12"/>
      <c r="J1054" s="12" t="s">
        <v>2008</v>
      </c>
    </row>
    <row r="1055" spans="1:10" ht="26.4" customHeight="1">
      <c r="A1055" s="12" t="s">
        <v>3632</v>
      </c>
      <c r="B1055" s="14" t="str">
        <f t="shared" si="16"/>
        <v>지도</v>
      </c>
      <c r="C1055" s="12" t="s">
        <v>59</v>
      </c>
      <c r="D1055" s="12" t="s">
        <v>3633</v>
      </c>
      <c r="E1055" s="12">
        <v>70</v>
      </c>
      <c r="F1055" s="12">
        <v>13000</v>
      </c>
      <c r="G1055" s="12">
        <v>700</v>
      </c>
      <c r="H1055" s="12">
        <v>10000</v>
      </c>
      <c r="I1055" s="12">
        <v>100</v>
      </c>
      <c r="J1055" s="12" t="s">
        <v>1987</v>
      </c>
    </row>
    <row r="1056" spans="1:10" ht="26.4" customHeight="1">
      <c r="A1056" s="12" t="s">
        <v>3634</v>
      </c>
      <c r="B1056" s="14" t="str">
        <f t="shared" si="16"/>
        <v>지도</v>
      </c>
      <c r="C1056" s="12" t="s">
        <v>2244</v>
      </c>
      <c r="D1056" s="12" t="s">
        <v>3635</v>
      </c>
      <c r="E1056" s="12">
        <v>61</v>
      </c>
      <c r="F1056" s="12">
        <v>15000</v>
      </c>
      <c r="G1056" s="12">
        <v>900</v>
      </c>
      <c r="H1056" s="12">
        <v>30000</v>
      </c>
      <c r="I1056" s="12"/>
      <c r="J1056" s="12" t="s">
        <v>3558</v>
      </c>
    </row>
    <row r="1057" spans="1:10" ht="26.4" customHeight="1">
      <c r="A1057" s="12" t="s">
        <v>3636</v>
      </c>
      <c r="B1057" s="14" t="str">
        <f t="shared" si="16"/>
        <v>지도</v>
      </c>
      <c r="C1057" s="12" t="s">
        <v>59</v>
      </c>
      <c r="D1057" s="12" t="s">
        <v>66</v>
      </c>
      <c r="E1057" s="12">
        <v>74</v>
      </c>
      <c r="F1057" s="12">
        <v>30000</v>
      </c>
      <c r="G1057" s="12">
        <v>1500</v>
      </c>
      <c r="H1057" s="12">
        <v>0</v>
      </c>
      <c r="I1057" s="12">
        <v>80</v>
      </c>
      <c r="J1057" s="12" t="s">
        <v>3637</v>
      </c>
    </row>
    <row r="1058" spans="1:10" ht="26.4" customHeight="1">
      <c r="A1058" s="12" t="s">
        <v>3638</v>
      </c>
      <c r="B1058" s="14" t="str">
        <f t="shared" si="16"/>
        <v>지도</v>
      </c>
      <c r="C1058" s="12" t="s">
        <v>59</v>
      </c>
      <c r="D1058" s="12" t="s">
        <v>66</v>
      </c>
      <c r="E1058" s="12">
        <v>10</v>
      </c>
      <c r="F1058" s="12">
        <v>10000</v>
      </c>
      <c r="G1058" s="12">
        <v>600</v>
      </c>
      <c r="H1058" s="12">
        <v>0</v>
      </c>
      <c r="I1058" s="12"/>
      <c r="J1058" s="12"/>
    </row>
    <row r="1059" spans="1:10" ht="26.4" customHeight="1">
      <c r="A1059" s="12" t="s">
        <v>3639</v>
      </c>
      <c r="B1059" s="14" t="str">
        <f t="shared" si="16"/>
        <v>지도</v>
      </c>
      <c r="C1059" s="12" t="s">
        <v>59</v>
      </c>
      <c r="D1059" s="12" t="s">
        <v>66</v>
      </c>
      <c r="E1059" s="12">
        <v>15</v>
      </c>
      <c r="F1059" s="12">
        <v>2000</v>
      </c>
      <c r="G1059" s="12">
        <v>150</v>
      </c>
      <c r="H1059" s="12">
        <v>0</v>
      </c>
      <c r="I1059" s="12"/>
      <c r="J1059" s="12"/>
    </row>
    <row r="1060" spans="1:10" ht="26.4" customHeight="1">
      <c r="A1060" s="12" t="s">
        <v>3640</v>
      </c>
      <c r="B1060" s="14" t="str">
        <f t="shared" si="16"/>
        <v>지도</v>
      </c>
      <c r="C1060" s="12" t="s">
        <v>59</v>
      </c>
      <c r="D1060" s="12" t="s">
        <v>66</v>
      </c>
      <c r="E1060" s="12">
        <v>14</v>
      </c>
      <c r="F1060" s="12">
        <v>1000</v>
      </c>
      <c r="G1060" s="12">
        <v>100</v>
      </c>
      <c r="H1060" s="12">
        <v>0</v>
      </c>
      <c r="I1060" s="12"/>
      <c r="J1060" s="12"/>
    </row>
    <row r="1061" spans="1:10" ht="26.4" customHeight="1">
      <c r="A1061" s="12" t="s">
        <v>3641</v>
      </c>
      <c r="B1061" s="14" t="str">
        <f t="shared" si="16"/>
        <v>지도</v>
      </c>
      <c r="C1061" s="12" t="s">
        <v>59</v>
      </c>
      <c r="D1061" s="12" t="s">
        <v>66</v>
      </c>
      <c r="E1061" s="12">
        <v>25</v>
      </c>
      <c r="F1061" s="12">
        <v>3000</v>
      </c>
      <c r="G1061" s="12">
        <v>240</v>
      </c>
      <c r="H1061" s="12">
        <v>0</v>
      </c>
      <c r="I1061" s="12"/>
      <c r="J1061" s="12"/>
    </row>
    <row r="1062" spans="1:10" ht="26.4" customHeight="1">
      <c r="A1062" s="12" t="s">
        <v>3642</v>
      </c>
      <c r="B1062" s="14" t="str">
        <f t="shared" si="16"/>
        <v>지도</v>
      </c>
      <c r="C1062" s="12" t="s">
        <v>59</v>
      </c>
      <c r="D1062" s="12" t="s">
        <v>66</v>
      </c>
      <c r="E1062" s="12">
        <v>20</v>
      </c>
      <c r="F1062" s="12">
        <v>3000</v>
      </c>
      <c r="G1062" s="12">
        <v>180</v>
      </c>
      <c r="H1062" s="12">
        <v>0</v>
      </c>
      <c r="I1062" s="12"/>
      <c r="J1062" s="12"/>
    </row>
    <row r="1063" spans="1:10" ht="26.4" customHeight="1">
      <c r="A1063" s="12" t="s">
        <v>3643</v>
      </c>
      <c r="B1063" s="14" t="str">
        <f t="shared" si="16"/>
        <v>지도</v>
      </c>
      <c r="C1063" s="12" t="s">
        <v>59</v>
      </c>
      <c r="D1063" s="12" t="s">
        <v>66</v>
      </c>
      <c r="E1063" s="12">
        <v>9.92</v>
      </c>
      <c r="F1063" s="12">
        <v>3000</v>
      </c>
      <c r="G1063" s="12">
        <v>250</v>
      </c>
      <c r="H1063" s="12">
        <v>0</v>
      </c>
      <c r="I1063" s="12"/>
      <c r="J1063" s="12"/>
    </row>
    <row r="1064" spans="1:10" ht="26.4" customHeight="1">
      <c r="A1064" s="12" t="s">
        <v>3644</v>
      </c>
      <c r="B1064" s="14" t="str">
        <f t="shared" si="16"/>
        <v>지도</v>
      </c>
      <c r="C1064" s="12" t="s">
        <v>59</v>
      </c>
      <c r="D1064" s="12" t="s">
        <v>66</v>
      </c>
      <c r="E1064" s="12">
        <v>15</v>
      </c>
      <c r="F1064" s="12">
        <v>10000</v>
      </c>
      <c r="G1064" s="12">
        <v>500</v>
      </c>
      <c r="H1064" s="12">
        <v>0</v>
      </c>
      <c r="I1064" s="12">
        <v>43</v>
      </c>
      <c r="J1064" s="12"/>
    </row>
    <row r="1065" spans="1:10" ht="26.4" customHeight="1">
      <c r="A1065" s="12" t="s">
        <v>3645</v>
      </c>
      <c r="B1065" s="14" t="str">
        <f t="shared" si="16"/>
        <v>지도</v>
      </c>
      <c r="C1065" s="12" t="s">
        <v>59</v>
      </c>
      <c r="D1065" s="12" t="s">
        <v>66</v>
      </c>
      <c r="E1065" s="12">
        <v>9</v>
      </c>
      <c r="F1065" s="12">
        <v>3000</v>
      </c>
      <c r="G1065" s="12">
        <v>180</v>
      </c>
      <c r="H1065" s="12">
        <v>0</v>
      </c>
      <c r="I1065" s="12">
        <v>10</v>
      </c>
      <c r="J1065" s="12"/>
    </row>
    <row r="1066" spans="1:10" ht="26.4" customHeight="1">
      <c r="A1066" s="12" t="s">
        <v>3646</v>
      </c>
      <c r="B1066" s="14" t="str">
        <f t="shared" si="16"/>
        <v>지도</v>
      </c>
      <c r="C1066" s="12" t="s">
        <v>59</v>
      </c>
      <c r="D1066" s="12" t="s">
        <v>66</v>
      </c>
      <c r="E1066" s="12">
        <v>11</v>
      </c>
      <c r="F1066" s="12">
        <v>3000</v>
      </c>
      <c r="G1066" s="12">
        <v>200</v>
      </c>
      <c r="H1066" s="12">
        <v>0</v>
      </c>
      <c r="I1066" s="12">
        <v>7</v>
      </c>
      <c r="J1066" s="12"/>
    </row>
    <row r="1067" spans="1:10" ht="26.4" customHeight="1">
      <c r="A1067" s="12" t="s">
        <v>3647</v>
      </c>
      <c r="B1067" s="14" t="str">
        <f t="shared" si="16"/>
        <v>지도</v>
      </c>
      <c r="C1067" s="12" t="s">
        <v>59</v>
      </c>
      <c r="D1067" s="12" t="s">
        <v>66</v>
      </c>
      <c r="E1067" s="12">
        <v>12</v>
      </c>
      <c r="F1067" s="12">
        <v>2000</v>
      </c>
      <c r="G1067" s="12">
        <v>220</v>
      </c>
      <c r="H1067" s="12">
        <v>0</v>
      </c>
      <c r="I1067" s="12">
        <v>10</v>
      </c>
      <c r="J1067" s="12"/>
    </row>
    <row r="1068" spans="1:10" ht="26.4" customHeight="1">
      <c r="A1068" s="12" t="s">
        <v>3646</v>
      </c>
      <c r="B1068" s="14" t="str">
        <f t="shared" si="16"/>
        <v>지도</v>
      </c>
      <c r="C1068" s="12" t="s">
        <v>59</v>
      </c>
      <c r="D1068" s="12" t="s">
        <v>66</v>
      </c>
      <c r="E1068" s="12">
        <v>10.8</v>
      </c>
      <c r="F1068" s="12">
        <v>3000</v>
      </c>
      <c r="G1068" s="12">
        <v>120</v>
      </c>
      <c r="H1068" s="12">
        <v>0</v>
      </c>
      <c r="I1068" s="12">
        <v>10</v>
      </c>
      <c r="J1068" s="12" t="s">
        <v>3648</v>
      </c>
    </row>
    <row r="1069" spans="1:10" ht="26.4" customHeight="1">
      <c r="A1069" s="12" t="s">
        <v>3649</v>
      </c>
      <c r="B1069" s="14" t="str">
        <f t="shared" si="16"/>
        <v>지도</v>
      </c>
      <c r="C1069" s="12" t="s">
        <v>59</v>
      </c>
      <c r="D1069" s="12" t="s">
        <v>66</v>
      </c>
      <c r="E1069" s="12">
        <v>25.7</v>
      </c>
      <c r="F1069" s="12">
        <v>6000</v>
      </c>
      <c r="G1069" s="12">
        <v>250</v>
      </c>
      <c r="H1069" s="12">
        <v>0</v>
      </c>
      <c r="I1069" s="12"/>
      <c r="J1069" s="12"/>
    </row>
    <row r="1070" spans="1:10" ht="26.4" customHeight="1">
      <c r="A1070" s="12" t="s">
        <v>3650</v>
      </c>
      <c r="B1070" s="14" t="str">
        <f t="shared" si="16"/>
        <v>지도</v>
      </c>
      <c r="C1070" s="12" t="s">
        <v>59</v>
      </c>
      <c r="D1070" s="12" t="s">
        <v>66</v>
      </c>
      <c r="E1070" s="12">
        <v>25</v>
      </c>
      <c r="F1070" s="12">
        <v>6000</v>
      </c>
      <c r="G1070" s="12">
        <v>300</v>
      </c>
      <c r="H1070" s="12">
        <v>0</v>
      </c>
      <c r="I1070" s="12">
        <v>7</v>
      </c>
      <c r="J1070" s="12"/>
    </row>
    <row r="1071" spans="1:10" ht="26.4" customHeight="1">
      <c r="A1071" s="12" t="s">
        <v>3650</v>
      </c>
      <c r="B1071" s="14" t="str">
        <f t="shared" si="16"/>
        <v>지도</v>
      </c>
      <c r="C1071" s="12" t="s">
        <v>59</v>
      </c>
      <c r="D1071" s="12" t="s">
        <v>66</v>
      </c>
      <c r="E1071" s="12">
        <v>13</v>
      </c>
      <c r="F1071" s="12">
        <v>3000</v>
      </c>
      <c r="G1071" s="12">
        <v>150</v>
      </c>
      <c r="H1071" s="12">
        <v>0</v>
      </c>
      <c r="I1071" s="12">
        <v>7</v>
      </c>
      <c r="J1071" s="12" t="s">
        <v>3651</v>
      </c>
    </row>
    <row r="1072" spans="1:10" ht="26.4" customHeight="1">
      <c r="A1072" s="12" t="s">
        <v>3652</v>
      </c>
      <c r="B1072" s="14" t="str">
        <f t="shared" si="16"/>
        <v>지도</v>
      </c>
      <c r="C1072" s="12" t="s">
        <v>59</v>
      </c>
      <c r="D1072" s="12" t="s">
        <v>66</v>
      </c>
      <c r="E1072" s="12">
        <v>15</v>
      </c>
      <c r="F1072" s="12">
        <v>1000</v>
      </c>
      <c r="G1072" s="12">
        <v>140</v>
      </c>
      <c r="H1072" s="12">
        <v>0</v>
      </c>
      <c r="I1072" s="12">
        <v>10</v>
      </c>
      <c r="J1072" s="12"/>
    </row>
    <row r="1073" spans="1:10" ht="26.4" customHeight="1">
      <c r="A1073" s="12" t="s">
        <v>3653</v>
      </c>
      <c r="B1073" s="14" t="str">
        <f t="shared" si="16"/>
        <v>지도</v>
      </c>
      <c r="C1073" s="12" t="s">
        <v>59</v>
      </c>
      <c r="D1073" s="12" t="s">
        <v>3654</v>
      </c>
      <c r="E1073" s="12">
        <v>85</v>
      </c>
      <c r="F1073" s="12">
        <v>7000</v>
      </c>
      <c r="G1073" s="12">
        <v>770</v>
      </c>
      <c r="H1073" s="12">
        <v>12000</v>
      </c>
      <c r="I1073" s="12"/>
      <c r="J1073" s="12" t="s">
        <v>3121</v>
      </c>
    </row>
    <row r="1074" spans="1:10" ht="26.4" customHeight="1">
      <c r="A1074" s="12" t="s">
        <v>3655</v>
      </c>
      <c r="B1074" s="14" t="str">
        <f t="shared" si="16"/>
        <v>지도</v>
      </c>
      <c r="C1074" s="12" t="s">
        <v>59</v>
      </c>
      <c r="D1074" s="12" t="s">
        <v>3656</v>
      </c>
      <c r="E1074" s="12">
        <v>50</v>
      </c>
      <c r="F1074" s="12">
        <v>8000</v>
      </c>
      <c r="G1074" s="12">
        <v>525</v>
      </c>
      <c r="H1074" s="12">
        <v>10000</v>
      </c>
      <c r="I1074" s="12">
        <v>50</v>
      </c>
      <c r="J1074" s="12"/>
    </row>
    <row r="1075" spans="1:10" ht="26.4" customHeight="1">
      <c r="A1075" s="12" t="s">
        <v>3657</v>
      </c>
      <c r="B1075" s="14" t="str">
        <f t="shared" si="16"/>
        <v>지도</v>
      </c>
      <c r="C1075" s="12" t="s">
        <v>59</v>
      </c>
      <c r="D1075" s="12" t="s">
        <v>3658</v>
      </c>
      <c r="E1075" s="12">
        <v>45</v>
      </c>
      <c r="F1075" s="12">
        <v>7000</v>
      </c>
      <c r="G1075" s="12">
        <v>580</v>
      </c>
      <c r="H1075" s="12">
        <v>10000</v>
      </c>
      <c r="I1075" s="12"/>
      <c r="J1075" s="12"/>
    </row>
    <row r="1077" spans="1:10" ht="26.4" customHeight="1">
      <c r="A1077" s="13" t="s">
        <v>0</v>
      </c>
      <c r="B1077" s="13" t="s">
        <v>925</v>
      </c>
      <c r="C1077" s="13" t="s">
        <v>2</v>
      </c>
      <c r="D1077" s="13" t="s">
        <v>1453</v>
      </c>
      <c r="E1077" s="13" t="s">
        <v>3</v>
      </c>
      <c r="F1077" s="13" t="s">
        <v>919</v>
      </c>
      <c r="G1077" s="13" t="s">
        <v>920</v>
      </c>
      <c r="H1077" s="13" t="s">
        <v>921</v>
      </c>
      <c r="I1077" s="13" t="s">
        <v>922</v>
      </c>
      <c r="J1077" s="13" t="s">
        <v>8</v>
      </c>
    </row>
    <row r="1078" spans="1:10" ht="26.4" customHeight="1">
      <c r="A1078" s="12" t="s">
        <v>3659</v>
      </c>
      <c r="B1078" s="14" t="str">
        <f t="shared" ref="B1078:B1084" si="17">HYPERLINK("https://map.naver.com/v5/search/" &amp; A1078, "지도")</f>
        <v>지도</v>
      </c>
      <c r="C1078" s="12" t="s">
        <v>59</v>
      </c>
      <c r="D1078" s="12" t="s">
        <v>66</v>
      </c>
      <c r="E1078" s="12">
        <v>60</v>
      </c>
      <c r="F1078" s="12">
        <v>10000</v>
      </c>
      <c r="G1078" s="12">
        <v>600</v>
      </c>
      <c r="H1078" s="12">
        <v>0</v>
      </c>
      <c r="I1078" s="12">
        <v>100</v>
      </c>
      <c r="J1078" s="12" t="s">
        <v>3660</v>
      </c>
    </row>
    <row r="1079" spans="1:10" ht="26.4" customHeight="1">
      <c r="A1079" s="12" t="s">
        <v>3661</v>
      </c>
      <c r="B1079" s="14" t="str">
        <f t="shared" si="17"/>
        <v>지도</v>
      </c>
      <c r="C1079" s="12" t="s">
        <v>59</v>
      </c>
      <c r="D1079" s="12" t="s">
        <v>3662</v>
      </c>
      <c r="E1079" s="12">
        <v>60</v>
      </c>
      <c r="F1079" s="12">
        <v>10000</v>
      </c>
      <c r="G1079" s="12">
        <v>600</v>
      </c>
      <c r="H1079" s="12">
        <v>3000</v>
      </c>
      <c r="I1079" s="12">
        <v>30</v>
      </c>
      <c r="J1079" s="12"/>
    </row>
    <row r="1080" spans="1:10" ht="26.4" customHeight="1">
      <c r="A1080" s="12" t="s">
        <v>1785</v>
      </c>
      <c r="B1080" s="14" t="str">
        <f t="shared" si="17"/>
        <v>지도</v>
      </c>
      <c r="C1080" s="12" t="s">
        <v>59</v>
      </c>
      <c r="D1080" s="12" t="s">
        <v>1786</v>
      </c>
      <c r="E1080" s="12">
        <v>50</v>
      </c>
      <c r="F1080" s="12">
        <v>7000</v>
      </c>
      <c r="G1080" s="12">
        <v>600</v>
      </c>
      <c r="H1080" s="12">
        <v>15000</v>
      </c>
      <c r="I1080" s="12">
        <v>50</v>
      </c>
      <c r="J1080" s="12" t="s">
        <v>2891</v>
      </c>
    </row>
    <row r="1081" spans="1:10" ht="26.4" customHeight="1">
      <c r="A1081" s="12" t="s">
        <v>3663</v>
      </c>
      <c r="B1081" s="14" t="str">
        <f t="shared" si="17"/>
        <v>지도</v>
      </c>
      <c r="C1081" s="12" t="s">
        <v>59</v>
      </c>
      <c r="D1081" s="12" t="s">
        <v>3664</v>
      </c>
      <c r="E1081" s="12">
        <v>100</v>
      </c>
      <c r="F1081" s="12">
        <v>20000</v>
      </c>
      <c r="G1081" s="12">
        <v>1000</v>
      </c>
      <c r="H1081" s="12">
        <v>20000</v>
      </c>
      <c r="I1081" s="12">
        <v>90</v>
      </c>
      <c r="J1081" s="12" t="s">
        <v>3665</v>
      </c>
    </row>
    <row r="1082" spans="1:10" ht="26.4" customHeight="1">
      <c r="A1082" s="12" t="s">
        <v>3666</v>
      </c>
      <c r="B1082" s="14" t="str">
        <f t="shared" si="17"/>
        <v>지도</v>
      </c>
      <c r="C1082" s="12" t="s">
        <v>59</v>
      </c>
      <c r="D1082" s="12" t="s">
        <v>3667</v>
      </c>
      <c r="E1082" s="12">
        <v>65</v>
      </c>
      <c r="F1082" s="12">
        <v>10000</v>
      </c>
      <c r="G1082" s="12">
        <v>900</v>
      </c>
      <c r="H1082" s="12">
        <v>7000</v>
      </c>
      <c r="I1082" s="12">
        <v>40</v>
      </c>
      <c r="J1082" s="12" t="s">
        <v>3668</v>
      </c>
    </row>
    <row r="1083" spans="1:10" ht="26.4" customHeight="1">
      <c r="A1083" s="12" t="s">
        <v>3669</v>
      </c>
      <c r="B1083" s="14" t="str">
        <f t="shared" si="17"/>
        <v>지도</v>
      </c>
      <c r="C1083" s="12" t="s">
        <v>59</v>
      </c>
      <c r="D1083" s="12" t="s">
        <v>3670</v>
      </c>
      <c r="E1083" s="12">
        <v>70</v>
      </c>
      <c r="F1083" s="12">
        <v>20000</v>
      </c>
      <c r="G1083" s="12">
        <v>840</v>
      </c>
      <c r="H1083" s="12">
        <v>10000</v>
      </c>
      <c r="I1083" s="12">
        <v>80</v>
      </c>
      <c r="J1083" s="12" t="s">
        <v>2002</v>
      </c>
    </row>
    <row r="1084" spans="1:10" ht="26.4" customHeight="1">
      <c r="A1084" s="12" t="s">
        <v>3671</v>
      </c>
      <c r="B1084" s="14" t="str">
        <f t="shared" si="17"/>
        <v>지도</v>
      </c>
      <c r="C1084" s="12" t="s">
        <v>59</v>
      </c>
      <c r="D1084" s="12" t="s">
        <v>66</v>
      </c>
      <c r="E1084" s="12">
        <v>45</v>
      </c>
      <c r="F1084" s="12">
        <v>15000</v>
      </c>
      <c r="G1084" s="12">
        <v>1300</v>
      </c>
      <c r="H1084" s="12">
        <v>0</v>
      </c>
      <c r="I1084" s="12"/>
      <c r="J1084" s="12" t="s">
        <v>3672</v>
      </c>
    </row>
    <row r="1086" spans="1:10" ht="26.4" customHeight="1">
      <c r="A1086" s="13" t="s">
        <v>0</v>
      </c>
      <c r="B1086" s="13" t="s">
        <v>925</v>
      </c>
      <c r="C1086" s="13" t="s">
        <v>2</v>
      </c>
      <c r="D1086" s="13" t="s">
        <v>1453</v>
      </c>
      <c r="E1086" s="13" t="s">
        <v>3</v>
      </c>
      <c r="F1086" s="13" t="s">
        <v>919</v>
      </c>
      <c r="G1086" s="13" t="s">
        <v>920</v>
      </c>
      <c r="H1086" s="13" t="s">
        <v>921</v>
      </c>
      <c r="I1086" s="13" t="s">
        <v>922</v>
      </c>
      <c r="J1086" s="13" t="s">
        <v>8</v>
      </c>
    </row>
    <row r="1087" spans="1:10" ht="26.4" customHeight="1">
      <c r="A1087" s="12" t="s">
        <v>3673</v>
      </c>
      <c r="B1087" s="14" t="str">
        <f t="shared" ref="B1087:B1114" si="18">HYPERLINK("https://map.naver.com/v5/search/" &amp; A1087, "지도")</f>
        <v>지도</v>
      </c>
      <c r="C1087" s="12" t="s">
        <v>59</v>
      </c>
      <c r="D1087" s="12" t="s">
        <v>3674</v>
      </c>
      <c r="E1087" s="12">
        <v>18.5</v>
      </c>
      <c r="F1087" s="12">
        <v>8000</v>
      </c>
      <c r="G1087" s="12">
        <v>550</v>
      </c>
      <c r="H1087" s="12">
        <v>10000</v>
      </c>
      <c r="I1087" s="12"/>
      <c r="J1087" s="12" t="s">
        <v>3675</v>
      </c>
    </row>
    <row r="1088" spans="1:10" ht="26.4" customHeight="1">
      <c r="A1088" s="12" t="s">
        <v>3676</v>
      </c>
      <c r="B1088" s="14" t="str">
        <f t="shared" si="18"/>
        <v>지도</v>
      </c>
      <c r="C1088" s="12" t="s">
        <v>59</v>
      </c>
      <c r="D1088" s="12" t="s">
        <v>66</v>
      </c>
      <c r="E1088" s="12">
        <v>44</v>
      </c>
      <c r="F1088" s="12">
        <v>10000</v>
      </c>
      <c r="G1088" s="12">
        <v>500</v>
      </c>
      <c r="H1088" s="12">
        <v>0</v>
      </c>
      <c r="I1088" s="12">
        <v>68.400000000000006</v>
      </c>
      <c r="J1088" s="12" t="s">
        <v>3531</v>
      </c>
    </row>
    <row r="1089" spans="1:10" ht="26.4" customHeight="1">
      <c r="A1089" s="12" t="s">
        <v>3677</v>
      </c>
      <c r="B1089" s="14" t="str">
        <f t="shared" si="18"/>
        <v>지도</v>
      </c>
      <c r="C1089" s="12" t="s">
        <v>60</v>
      </c>
      <c r="D1089" s="12" t="s">
        <v>3678</v>
      </c>
      <c r="E1089" s="12">
        <v>39</v>
      </c>
      <c r="F1089" s="12">
        <v>3500</v>
      </c>
      <c r="G1089" s="12">
        <v>300</v>
      </c>
      <c r="H1089" s="12">
        <v>0</v>
      </c>
      <c r="I1089" s="12"/>
      <c r="J1089" s="12" t="s">
        <v>3679</v>
      </c>
    </row>
    <row r="1090" spans="1:10" ht="26.4" customHeight="1">
      <c r="A1090" s="12" t="s">
        <v>3680</v>
      </c>
      <c r="B1090" s="14" t="str">
        <f t="shared" si="18"/>
        <v>지도</v>
      </c>
      <c r="C1090" s="12" t="s">
        <v>59</v>
      </c>
      <c r="D1090" s="12" t="s">
        <v>3681</v>
      </c>
      <c r="E1090" s="12">
        <v>61</v>
      </c>
      <c r="F1090" s="12">
        <v>10000</v>
      </c>
      <c r="G1090" s="12">
        <v>970</v>
      </c>
      <c r="H1090" s="12">
        <v>22000</v>
      </c>
      <c r="I1090" s="12">
        <v>0</v>
      </c>
      <c r="J1090" s="12" t="s">
        <v>3682</v>
      </c>
    </row>
    <row r="1091" spans="1:10" ht="26.4" customHeight="1">
      <c r="A1091" s="12" t="s">
        <v>3683</v>
      </c>
      <c r="B1091" s="14" t="str">
        <f t="shared" si="18"/>
        <v>지도</v>
      </c>
      <c r="C1091" s="12" t="s">
        <v>59</v>
      </c>
      <c r="D1091" s="12" t="s">
        <v>3684</v>
      </c>
      <c r="E1091" s="12">
        <v>70</v>
      </c>
      <c r="F1091" s="12">
        <v>5000</v>
      </c>
      <c r="G1091" s="12">
        <v>500</v>
      </c>
      <c r="H1091" s="12">
        <v>10000</v>
      </c>
      <c r="I1091" s="12">
        <v>50</v>
      </c>
      <c r="J1091" s="12" t="s">
        <v>2002</v>
      </c>
    </row>
    <row r="1092" spans="1:10" ht="26.4" customHeight="1">
      <c r="A1092" s="12" t="s">
        <v>3685</v>
      </c>
      <c r="B1092" s="14" t="str">
        <f t="shared" si="18"/>
        <v>지도</v>
      </c>
      <c r="C1092" s="12" t="s">
        <v>59</v>
      </c>
      <c r="D1092" s="12" t="s">
        <v>66</v>
      </c>
      <c r="E1092" s="12">
        <v>14</v>
      </c>
      <c r="F1092" s="12">
        <v>4000</v>
      </c>
      <c r="G1092" s="12">
        <v>240</v>
      </c>
      <c r="H1092" s="12">
        <v>0</v>
      </c>
      <c r="I1092" s="12"/>
      <c r="J1092" s="12"/>
    </row>
    <row r="1093" spans="1:10" ht="26.4" customHeight="1">
      <c r="A1093" s="12" t="s">
        <v>3686</v>
      </c>
      <c r="B1093" s="14" t="str">
        <f t="shared" si="18"/>
        <v>지도</v>
      </c>
      <c r="C1093" s="12" t="s">
        <v>59</v>
      </c>
      <c r="D1093" s="12" t="s">
        <v>66</v>
      </c>
      <c r="E1093" s="12">
        <v>16</v>
      </c>
      <c r="F1093" s="12">
        <v>3000</v>
      </c>
      <c r="G1093" s="12">
        <v>230</v>
      </c>
      <c r="H1093" s="12">
        <v>0</v>
      </c>
      <c r="I1093" s="12"/>
      <c r="J1093" s="12"/>
    </row>
    <row r="1094" spans="1:10" ht="26.4" customHeight="1">
      <c r="A1094" s="12" t="s">
        <v>3687</v>
      </c>
      <c r="B1094" s="14" t="str">
        <f t="shared" si="18"/>
        <v>지도</v>
      </c>
      <c r="C1094" s="12" t="s">
        <v>59</v>
      </c>
      <c r="D1094" s="12" t="s">
        <v>66</v>
      </c>
      <c r="E1094" s="12">
        <v>14</v>
      </c>
      <c r="F1094" s="12">
        <v>2000</v>
      </c>
      <c r="G1094" s="12">
        <v>135</v>
      </c>
      <c r="H1094" s="12">
        <v>0</v>
      </c>
      <c r="I1094" s="12"/>
      <c r="J1094" s="12"/>
    </row>
    <row r="1095" spans="1:10" ht="26.4" customHeight="1">
      <c r="A1095" s="12" t="s">
        <v>3688</v>
      </c>
      <c r="B1095" s="14" t="str">
        <f t="shared" si="18"/>
        <v>지도</v>
      </c>
      <c r="C1095" s="12" t="s">
        <v>59</v>
      </c>
      <c r="D1095" s="12" t="s">
        <v>3689</v>
      </c>
      <c r="E1095" s="12">
        <v>12.5</v>
      </c>
      <c r="F1095" s="12">
        <v>3000</v>
      </c>
      <c r="G1095" s="12">
        <v>150</v>
      </c>
      <c r="H1095" s="12">
        <v>0</v>
      </c>
      <c r="I1095" s="12"/>
      <c r="J1095" s="12" t="s">
        <v>3690</v>
      </c>
    </row>
    <row r="1096" spans="1:10" ht="26.4" customHeight="1">
      <c r="A1096" s="12" t="s">
        <v>3691</v>
      </c>
      <c r="B1096" s="14" t="str">
        <f t="shared" si="18"/>
        <v>지도</v>
      </c>
      <c r="C1096" s="12" t="s">
        <v>59</v>
      </c>
      <c r="D1096" s="12" t="s">
        <v>66</v>
      </c>
      <c r="E1096" s="12">
        <v>15</v>
      </c>
      <c r="F1096" s="12">
        <v>2000</v>
      </c>
      <c r="G1096" s="12">
        <v>120</v>
      </c>
      <c r="H1096" s="12">
        <v>0</v>
      </c>
      <c r="I1096" s="12"/>
      <c r="J1096" s="12"/>
    </row>
    <row r="1097" spans="1:10" ht="26.4" customHeight="1">
      <c r="A1097" s="12" t="s">
        <v>3692</v>
      </c>
      <c r="B1097" s="14" t="str">
        <f t="shared" si="18"/>
        <v>지도</v>
      </c>
      <c r="C1097" s="12" t="s">
        <v>59</v>
      </c>
      <c r="D1097" s="12" t="s">
        <v>66</v>
      </c>
      <c r="E1097" s="12">
        <v>14.4</v>
      </c>
      <c r="F1097" s="12">
        <v>3200</v>
      </c>
      <c r="G1097" s="12">
        <v>260</v>
      </c>
      <c r="H1097" s="12">
        <v>0</v>
      </c>
      <c r="I1097" s="12"/>
      <c r="J1097" s="12" t="s">
        <v>3693</v>
      </c>
    </row>
    <row r="1098" spans="1:10" ht="26.4" customHeight="1">
      <c r="A1098" s="12" t="s">
        <v>3692</v>
      </c>
      <c r="B1098" s="14" t="str">
        <f t="shared" si="18"/>
        <v>지도</v>
      </c>
      <c r="C1098" s="12" t="s">
        <v>59</v>
      </c>
      <c r="D1098" s="12" t="s">
        <v>66</v>
      </c>
      <c r="E1098" s="12">
        <v>16.5</v>
      </c>
      <c r="F1098" s="12">
        <v>4000</v>
      </c>
      <c r="G1098" s="12">
        <v>290</v>
      </c>
      <c r="H1098" s="12">
        <v>0</v>
      </c>
      <c r="I1098" s="12"/>
      <c r="J1098" s="12"/>
    </row>
    <row r="1099" spans="1:10" ht="26.4" customHeight="1">
      <c r="A1099" s="12" t="s">
        <v>3694</v>
      </c>
      <c r="B1099" s="14" t="str">
        <f t="shared" si="18"/>
        <v>지도</v>
      </c>
      <c r="C1099" s="12" t="s">
        <v>59</v>
      </c>
      <c r="D1099" s="12" t="s">
        <v>3695</v>
      </c>
      <c r="E1099" s="12">
        <v>13.09</v>
      </c>
      <c r="F1099" s="12">
        <v>4000</v>
      </c>
      <c r="G1099" s="12">
        <v>280</v>
      </c>
      <c r="H1099" s="12">
        <v>0</v>
      </c>
      <c r="I1099" s="12"/>
      <c r="J1099" s="12"/>
    </row>
    <row r="1100" spans="1:10" ht="26.4" customHeight="1">
      <c r="A1100" s="12" t="s">
        <v>3696</v>
      </c>
      <c r="B1100" s="14" t="str">
        <f t="shared" si="18"/>
        <v>지도</v>
      </c>
      <c r="C1100" s="12" t="s">
        <v>59</v>
      </c>
      <c r="D1100" s="12" t="s">
        <v>3697</v>
      </c>
      <c r="E1100" s="12">
        <v>20</v>
      </c>
      <c r="F1100" s="12">
        <v>5000</v>
      </c>
      <c r="G1100" s="12">
        <v>350</v>
      </c>
      <c r="H1100" s="12">
        <v>7000</v>
      </c>
      <c r="I1100" s="12"/>
      <c r="J1100" s="12"/>
    </row>
    <row r="1101" spans="1:10" ht="26.4" customHeight="1">
      <c r="A1101" s="12" t="s">
        <v>3601</v>
      </c>
      <c r="B1101" s="14" t="str">
        <f t="shared" si="18"/>
        <v>지도</v>
      </c>
      <c r="C1101" s="12" t="s">
        <v>59</v>
      </c>
      <c r="D1101" s="12" t="s">
        <v>66</v>
      </c>
      <c r="E1101" s="12">
        <v>21</v>
      </c>
      <c r="F1101" s="12">
        <v>3000</v>
      </c>
      <c r="G1101" s="12">
        <v>270</v>
      </c>
      <c r="H1101" s="12">
        <v>0</v>
      </c>
      <c r="I1101" s="12"/>
      <c r="J1101" s="12"/>
    </row>
    <row r="1102" spans="1:10" ht="26.4" customHeight="1">
      <c r="A1102" s="12" t="s">
        <v>3599</v>
      </c>
      <c r="B1102" s="14" t="str">
        <f t="shared" si="18"/>
        <v>지도</v>
      </c>
      <c r="C1102" s="12" t="s">
        <v>59</v>
      </c>
      <c r="D1102" s="12" t="s">
        <v>66</v>
      </c>
      <c r="E1102" s="12">
        <v>21</v>
      </c>
      <c r="F1102" s="12">
        <v>5000</v>
      </c>
      <c r="G1102" s="12">
        <v>270</v>
      </c>
      <c r="H1102" s="12">
        <v>0</v>
      </c>
      <c r="I1102" s="12"/>
      <c r="J1102" s="12"/>
    </row>
    <row r="1103" spans="1:10" ht="26.4" customHeight="1">
      <c r="A1103" s="12" t="s">
        <v>3698</v>
      </c>
      <c r="B1103" s="14" t="str">
        <f t="shared" si="18"/>
        <v>지도</v>
      </c>
      <c r="C1103" s="12" t="s">
        <v>59</v>
      </c>
      <c r="D1103" s="12" t="s">
        <v>66</v>
      </c>
      <c r="E1103" s="12">
        <v>27</v>
      </c>
      <c r="F1103" s="12">
        <v>4000</v>
      </c>
      <c r="G1103" s="12">
        <v>220</v>
      </c>
      <c r="H1103" s="12">
        <v>0</v>
      </c>
      <c r="I1103" s="12"/>
      <c r="J1103" s="12"/>
    </row>
    <row r="1104" spans="1:10" ht="26.4" customHeight="1">
      <c r="A1104" s="12" t="s">
        <v>3699</v>
      </c>
      <c r="B1104" s="14" t="str">
        <f t="shared" si="18"/>
        <v>지도</v>
      </c>
      <c r="C1104" s="12" t="s">
        <v>59</v>
      </c>
      <c r="D1104" s="12" t="s">
        <v>3261</v>
      </c>
      <c r="E1104" s="12">
        <v>15</v>
      </c>
      <c r="F1104" s="12">
        <v>5000</v>
      </c>
      <c r="G1104" s="12">
        <v>220</v>
      </c>
      <c r="H1104" s="12">
        <v>2000</v>
      </c>
      <c r="I1104" s="12">
        <v>15</v>
      </c>
      <c r="J1104" s="12"/>
    </row>
    <row r="1105" spans="1:10" ht="26.4" customHeight="1">
      <c r="A1105" s="12" t="s">
        <v>3700</v>
      </c>
      <c r="B1105" s="14" t="str">
        <f t="shared" si="18"/>
        <v>지도</v>
      </c>
      <c r="C1105" s="12" t="s">
        <v>59</v>
      </c>
      <c r="D1105" s="12" t="s">
        <v>66</v>
      </c>
      <c r="E1105" s="12">
        <v>16</v>
      </c>
      <c r="F1105" s="12">
        <v>5000</v>
      </c>
      <c r="G1105" s="12">
        <v>380</v>
      </c>
      <c r="H1105" s="12">
        <v>0</v>
      </c>
      <c r="I1105" s="12"/>
      <c r="J1105" s="12"/>
    </row>
    <row r="1106" spans="1:10" ht="26.4" customHeight="1">
      <c r="A1106" s="12" t="s">
        <v>3701</v>
      </c>
      <c r="B1106" s="14" t="str">
        <f t="shared" si="18"/>
        <v>지도</v>
      </c>
      <c r="C1106" s="12" t="s">
        <v>59</v>
      </c>
      <c r="D1106" s="12" t="s">
        <v>3702</v>
      </c>
      <c r="E1106" s="12">
        <v>19</v>
      </c>
      <c r="F1106" s="12">
        <v>5000</v>
      </c>
      <c r="G1106" s="12">
        <v>270</v>
      </c>
      <c r="H1106" s="12">
        <v>2000</v>
      </c>
      <c r="I1106" s="12"/>
      <c r="J1106" s="12"/>
    </row>
    <row r="1107" spans="1:10" ht="26.4" customHeight="1">
      <c r="A1107" s="12" t="s">
        <v>3703</v>
      </c>
      <c r="B1107" s="14" t="str">
        <f t="shared" si="18"/>
        <v>지도</v>
      </c>
      <c r="C1107" s="12" t="s">
        <v>59</v>
      </c>
      <c r="D1107" s="12" t="s">
        <v>3704</v>
      </c>
      <c r="E1107" s="12">
        <v>15</v>
      </c>
      <c r="F1107" s="12">
        <v>6000</v>
      </c>
      <c r="G1107" s="12">
        <v>310</v>
      </c>
      <c r="H1107" s="12">
        <v>3000</v>
      </c>
      <c r="I1107" s="12"/>
      <c r="J1107" s="12"/>
    </row>
    <row r="1108" spans="1:10" ht="26.4" customHeight="1">
      <c r="A1108" s="12" t="s">
        <v>3705</v>
      </c>
      <c r="B1108" s="14" t="str">
        <f t="shared" si="18"/>
        <v>지도</v>
      </c>
      <c r="C1108" s="12" t="s">
        <v>59</v>
      </c>
      <c r="D1108" s="12" t="s">
        <v>3706</v>
      </c>
      <c r="E1108" s="12">
        <v>12</v>
      </c>
      <c r="F1108" s="12">
        <v>2000</v>
      </c>
      <c r="G1108" s="12">
        <v>200</v>
      </c>
      <c r="H1108" s="12">
        <v>3500</v>
      </c>
      <c r="I1108" s="12"/>
      <c r="J1108" s="12"/>
    </row>
    <row r="1109" spans="1:10" ht="26.4" customHeight="1">
      <c r="A1109" s="12" t="s">
        <v>3707</v>
      </c>
      <c r="B1109" s="14" t="str">
        <f t="shared" si="18"/>
        <v>지도</v>
      </c>
      <c r="C1109" s="12" t="s">
        <v>59</v>
      </c>
      <c r="D1109" s="12" t="s">
        <v>3708</v>
      </c>
      <c r="E1109" s="12">
        <v>52</v>
      </c>
      <c r="F1109" s="12">
        <v>8000</v>
      </c>
      <c r="G1109" s="12">
        <v>550</v>
      </c>
      <c r="H1109" s="12">
        <v>8000</v>
      </c>
      <c r="I1109" s="12">
        <v>10</v>
      </c>
      <c r="J1109" s="12"/>
    </row>
    <row r="1110" spans="1:10" ht="26.4" customHeight="1">
      <c r="A1110" s="12" t="s">
        <v>3709</v>
      </c>
      <c r="B1110" s="14" t="str">
        <f t="shared" si="18"/>
        <v>지도</v>
      </c>
      <c r="C1110" s="12" t="s">
        <v>59</v>
      </c>
      <c r="D1110" s="12" t="s">
        <v>3710</v>
      </c>
      <c r="E1110" s="12">
        <v>16</v>
      </c>
      <c r="F1110" s="12">
        <v>5000</v>
      </c>
      <c r="G1110" s="12">
        <v>300</v>
      </c>
      <c r="H1110" s="12">
        <v>2000</v>
      </c>
      <c r="I1110" s="12"/>
      <c r="J1110" s="12"/>
    </row>
    <row r="1111" spans="1:10" ht="26.4" customHeight="1">
      <c r="A1111" s="12" t="s">
        <v>3589</v>
      </c>
      <c r="B1111" s="14" t="str">
        <f t="shared" si="18"/>
        <v>지도</v>
      </c>
      <c r="C1111" s="12" t="s">
        <v>59</v>
      </c>
      <c r="D1111" s="12" t="s">
        <v>3590</v>
      </c>
      <c r="E1111" s="12">
        <v>17</v>
      </c>
      <c r="F1111" s="12">
        <v>3000</v>
      </c>
      <c r="G1111" s="12">
        <v>270</v>
      </c>
      <c r="H1111" s="12">
        <v>0</v>
      </c>
      <c r="I1111" s="12"/>
      <c r="J1111" s="12"/>
    </row>
    <row r="1112" spans="1:10" ht="26.4" customHeight="1">
      <c r="A1112" s="12" t="s">
        <v>3711</v>
      </c>
      <c r="B1112" s="14" t="str">
        <f t="shared" si="18"/>
        <v>지도</v>
      </c>
      <c r="C1112" s="12" t="s">
        <v>59</v>
      </c>
      <c r="D1112" s="12" t="s">
        <v>3712</v>
      </c>
      <c r="E1112" s="12">
        <v>14</v>
      </c>
      <c r="F1112" s="12">
        <v>2000</v>
      </c>
      <c r="G1112" s="12">
        <v>120</v>
      </c>
      <c r="H1112" s="12">
        <v>1000</v>
      </c>
      <c r="I1112" s="12"/>
      <c r="J1112" s="12"/>
    </row>
    <row r="1113" spans="1:10" ht="26.4" customHeight="1">
      <c r="A1113" s="12" t="s">
        <v>3713</v>
      </c>
      <c r="B1113" s="14" t="str">
        <f t="shared" si="18"/>
        <v>지도</v>
      </c>
      <c r="C1113" s="12" t="s">
        <v>59</v>
      </c>
      <c r="D1113" s="12" t="s">
        <v>66</v>
      </c>
      <c r="E1113" s="12">
        <v>12.4</v>
      </c>
      <c r="F1113" s="12">
        <v>5000</v>
      </c>
      <c r="G1113" s="12">
        <v>400</v>
      </c>
      <c r="H1113" s="12">
        <v>0</v>
      </c>
      <c r="I1113" s="12">
        <v>20</v>
      </c>
      <c r="J1113" s="12"/>
    </row>
    <row r="1114" spans="1:10" ht="26.4" customHeight="1">
      <c r="A1114" s="12" t="s">
        <v>3714</v>
      </c>
      <c r="B1114" s="14" t="str">
        <f t="shared" si="18"/>
        <v>지도</v>
      </c>
      <c r="C1114" s="12" t="s">
        <v>59</v>
      </c>
      <c r="D1114" s="12" t="s">
        <v>3715</v>
      </c>
      <c r="E1114" s="12">
        <v>22</v>
      </c>
      <c r="F1114" s="12">
        <v>5000</v>
      </c>
      <c r="G1114" s="12">
        <v>350</v>
      </c>
      <c r="H1114" s="12">
        <v>0</v>
      </c>
      <c r="I1114" s="12"/>
      <c r="J1114" s="12"/>
    </row>
    <row r="1116" spans="1:10" ht="26.4" customHeight="1">
      <c r="A1116" s="13" t="s">
        <v>0</v>
      </c>
      <c r="B1116" s="13" t="s">
        <v>925</v>
      </c>
      <c r="C1116" s="13" t="s">
        <v>2</v>
      </c>
      <c r="D1116" s="13" t="s">
        <v>1453</v>
      </c>
      <c r="E1116" s="13" t="s">
        <v>3</v>
      </c>
      <c r="F1116" s="13" t="s">
        <v>919</v>
      </c>
      <c r="G1116" s="13" t="s">
        <v>920</v>
      </c>
      <c r="H1116" s="13" t="s">
        <v>921</v>
      </c>
      <c r="I1116" s="13" t="s">
        <v>922</v>
      </c>
      <c r="J1116" s="13" t="s">
        <v>8</v>
      </c>
    </row>
    <row r="1117" spans="1:10" ht="26.4" customHeight="1">
      <c r="A1117" s="12" t="s">
        <v>3717</v>
      </c>
      <c r="B1117" s="14" t="str">
        <f t="shared" ref="B1117:B1137" si="19">HYPERLINK("https://map.naver.com/v5/search/" &amp; A1117, "지도")</f>
        <v>지도</v>
      </c>
      <c r="C1117" s="12" t="s">
        <v>59</v>
      </c>
      <c r="D1117" s="12" t="s">
        <v>3718</v>
      </c>
      <c r="E1117" s="12">
        <v>11.78</v>
      </c>
      <c r="F1117" s="12">
        <v>2000</v>
      </c>
      <c r="G1117" s="12">
        <v>200</v>
      </c>
      <c r="H1117" s="12">
        <v>7000</v>
      </c>
      <c r="I1117" s="12">
        <v>6</v>
      </c>
      <c r="J1117" s="12"/>
    </row>
    <row r="1118" spans="1:10" ht="26.4" customHeight="1">
      <c r="A1118" s="12" t="s">
        <v>3719</v>
      </c>
      <c r="B1118" s="14" t="str">
        <f t="shared" si="19"/>
        <v>지도</v>
      </c>
      <c r="C1118" s="12" t="s">
        <v>59</v>
      </c>
      <c r="D1118" s="12" t="s">
        <v>3720</v>
      </c>
      <c r="E1118" s="12">
        <v>13.81</v>
      </c>
      <c r="F1118" s="12">
        <v>3500</v>
      </c>
      <c r="G1118" s="12">
        <v>200</v>
      </c>
      <c r="H1118" s="12">
        <v>4000</v>
      </c>
      <c r="I1118" s="12"/>
      <c r="J1118" s="12"/>
    </row>
    <row r="1119" spans="1:10" ht="26.4" customHeight="1">
      <c r="A1119" s="12" t="s">
        <v>3721</v>
      </c>
      <c r="B1119" s="14" t="str">
        <f t="shared" si="19"/>
        <v>지도</v>
      </c>
      <c r="C1119" s="12" t="s">
        <v>59</v>
      </c>
      <c r="D1119" s="12" t="s">
        <v>3722</v>
      </c>
      <c r="E1119" s="12">
        <v>13</v>
      </c>
      <c r="F1119" s="12">
        <v>2000</v>
      </c>
      <c r="G1119" s="12">
        <v>205</v>
      </c>
      <c r="H1119" s="12">
        <v>8000</v>
      </c>
      <c r="I1119" s="12">
        <v>10</v>
      </c>
      <c r="J1119" s="12"/>
    </row>
    <row r="1120" spans="1:10" ht="26.4" customHeight="1">
      <c r="A1120" s="12" t="s">
        <v>3723</v>
      </c>
      <c r="B1120" s="14" t="str">
        <f t="shared" si="19"/>
        <v>지도</v>
      </c>
      <c r="C1120" s="12" t="s">
        <v>59</v>
      </c>
      <c r="D1120" s="12" t="s">
        <v>3188</v>
      </c>
      <c r="E1120" s="12">
        <v>53</v>
      </c>
      <c r="F1120" s="12">
        <v>5000</v>
      </c>
      <c r="G1120" s="12">
        <v>370</v>
      </c>
      <c r="H1120" s="12">
        <v>5000</v>
      </c>
      <c r="I1120" s="12"/>
      <c r="J1120" s="12"/>
    </row>
    <row r="1121" spans="1:10" ht="26.4" customHeight="1">
      <c r="A1121" s="12" t="s">
        <v>3724</v>
      </c>
      <c r="B1121" s="14" t="str">
        <f t="shared" si="19"/>
        <v>지도</v>
      </c>
      <c r="C1121" s="12" t="s">
        <v>110</v>
      </c>
      <c r="D1121" s="12" t="s">
        <v>3725</v>
      </c>
      <c r="E1121" s="12">
        <v>73</v>
      </c>
      <c r="F1121" s="12">
        <v>10000</v>
      </c>
      <c r="G1121" s="12">
        <v>500</v>
      </c>
      <c r="H1121" s="12">
        <v>0</v>
      </c>
      <c r="I1121" s="12"/>
      <c r="J1121" s="12" t="s">
        <v>3726</v>
      </c>
    </row>
    <row r="1122" spans="1:10" ht="26.4" customHeight="1">
      <c r="A1122" s="12" t="s">
        <v>3727</v>
      </c>
      <c r="B1122" s="14" t="str">
        <f t="shared" si="19"/>
        <v>지도</v>
      </c>
      <c r="C1122" s="12" t="s">
        <v>59</v>
      </c>
      <c r="D1122" s="12" t="s">
        <v>3728</v>
      </c>
      <c r="E1122" s="12">
        <v>20</v>
      </c>
      <c r="F1122" s="12">
        <v>6000</v>
      </c>
      <c r="G1122" s="12">
        <v>290</v>
      </c>
      <c r="H1122" s="12">
        <v>0</v>
      </c>
      <c r="I1122" s="12"/>
      <c r="J1122" s="12"/>
    </row>
    <row r="1123" spans="1:10" ht="26.4" customHeight="1">
      <c r="A1123" s="12" t="s">
        <v>3729</v>
      </c>
      <c r="B1123" s="14" t="str">
        <f t="shared" si="19"/>
        <v>지도</v>
      </c>
      <c r="C1123" s="12" t="s">
        <v>59</v>
      </c>
      <c r="D1123" s="12" t="s">
        <v>819</v>
      </c>
      <c r="E1123" s="12">
        <v>17</v>
      </c>
      <c r="F1123" s="12">
        <v>6500</v>
      </c>
      <c r="G1123" s="12">
        <v>344</v>
      </c>
      <c r="H1123" s="12">
        <v>500</v>
      </c>
      <c r="I1123" s="12"/>
      <c r="J1123" s="12" t="s">
        <v>3730</v>
      </c>
    </row>
    <row r="1124" spans="1:10" ht="26.4" customHeight="1">
      <c r="A1124" s="12" t="s">
        <v>3731</v>
      </c>
      <c r="B1124" s="14" t="str">
        <f t="shared" si="19"/>
        <v>지도</v>
      </c>
      <c r="C1124" s="12" t="s">
        <v>59</v>
      </c>
      <c r="D1124" s="12" t="s">
        <v>3732</v>
      </c>
      <c r="E1124" s="12">
        <v>51.19</v>
      </c>
      <c r="F1124" s="12">
        <v>7000</v>
      </c>
      <c r="G1124" s="12">
        <v>400</v>
      </c>
      <c r="H1124" s="12">
        <v>0</v>
      </c>
      <c r="I1124" s="12"/>
      <c r="J1124" s="12" t="s">
        <v>3733</v>
      </c>
    </row>
    <row r="1125" spans="1:10" ht="26.4" customHeight="1">
      <c r="A1125" s="12" t="s">
        <v>3734</v>
      </c>
      <c r="B1125" s="14" t="str">
        <f t="shared" si="19"/>
        <v>지도</v>
      </c>
      <c r="C1125" s="12" t="s">
        <v>59</v>
      </c>
      <c r="D1125" s="12" t="s">
        <v>66</v>
      </c>
      <c r="E1125" s="12">
        <v>60</v>
      </c>
      <c r="F1125" s="12">
        <v>5000</v>
      </c>
      <c r="G1125" s="12">
        <v>280</v>
      </c>
      <c r="H1125" s="12">
        <v>0</v>
      </c>
      <c r="I1125" s="12"/>
      <c r="J1125" s="12" t="s">
        <v>3735</v>
      </c>
    </row>
    <row r="1126" spans="1:10" ht="26.4" customHeight="1">
      <c r="A1126" s="12" t="s">
        <v>1658</v>
      </c>
      <c r="B1126" s="14" t="str">
        <f t="shared" si="19"/>
        <v>지도</v>
      </c>
      <c r="C1126" s="12" t="s">
        <v>2666</v>
      </c>
      <c r="D1126" s="12" t="s">
        <v>66</v>
      </c>
      <c r="E1126" s="12">
        <v>40</v>
      </c>
      <c r="F1126" s="12">
        <v>7000</v>
      </c>
      <c r="G1126" s="12">
        <v>360</v>
      </c>
      <c r="H1126" s="12">
        <v>0</v>
      </c>
      <c r="I1126" s="12"/>
      <c r="J1126" s="12" t="s">
        <v>3736</v>
      </c>
    </row>
    <row r="1127" spans="1:10" ht="26.4" customHeight="1">
      <c r="A1127" s="12" t="s">
        <v>3680</v>
      </c>
      <c r="B1127" s="14" t="str">
        <f t="shared" si="19"/>
        <v>지도</v>
      </c>
      <c r="C1127" s="12" t="s">
        <v>59</v>
      </c>
      <c r="D1127" s="12" t="s">
        <v>3681</v>
      </c>
      <c r="E1127" s="12">
        <v>61</v>
      </c>
      <c r="F1127" s="12">
        <v>10000</v>
      </c>
      <c r="G1127" s="12">
        <v>970</v>
      </c>
      <c r="H1127" s="12">
        <v>22000</v>
      </c>
      <c r="I1127" s="12"/>
      <c r="J1127" s="12"/>
    </row>
    <row r="1128" spans="1:10" ht="26.4" customHeight="1">
      <c r="A1128" s="12" t="s">
        <v>3737</v>
      </c>
      <c r="B1128" s="14" t="str">
        <f t="shared" si="19"/>
        <v>지도</v>
      </c>
      <c r="C1128" s="12" t="s">
        <v>59</v>
      </c>
      <c r="D1128" s="12" t="s">
        <v>2054</v>
      </c>
      <c r="E1128" s="12">
        <v>15</v>
      </c>
      <c r="F1128" s="12">
        <v>5000</v>
      </c>
      <c r="G1128" s="12">
        <v>400</v>
      </c>
      <c r="H1128" s="12">
        <v>3000</v>
      </c>
      <c r="I1128" s="12"/>
      <c r="J1128" s="12"/>
    </row>
    <row r="1129" spans="1:10" ht="26.4" customHeight="1">
      <c r="A1129" s="12" t="s">
        <v>3737</v>
      </c>
      <c r="B1129" s="14" t="str">
        <f t="shared" si="19"/>
        <v>지도</v>
      </c>
      <c r="C1129" s="12" t="s">
        <v>59</v>
      </c>
      <c r="D1129" s="12" t="s">
        <v>2055</v>
      </c>
      <c r="E1129" s="12">
        <v>15</v>
      </c>
      <c r="F1129" s="12">
        <v>5000</v>
      </c>
      <c r="G1129" s="12">
        <v>400</v>
      </c>
      <c r="H1129" s="12">
        <v>5000</v>
      </c>
      <c r="I1129" s="12"/>
      <c r="J1129" s="12"/>
    </row>
    <row r="1130" spans="1:10" ht="26.4" customHeight="1">
      <c r="A1130" s="12" t="s">
        <v>3738</v>
      </c>
      <c r="B1130" s="14" t="str">
        <f t="shared" si="19"/>
        <v>지도</v>
      </c>
      <c r="C1130" s="12" t="s">
        <v>59</v>
      </c>
      <c r="D1130" s="12" t="s">
        <v>3739</v>
      </c>
      <c r="E1130" s="12">
        <v>13</v>
      </c>
      <c r="F1130" s="12">
        <v>5000</v>
      </c>
      <c r="G1130" s="12">
        <v>390</v>
      </c>
      <c r="H1130" s="12">
        <v>12000</v>
      </c>
      <c r="I1130" s="12"/>
      <c r="J1130" s="12"/>
    </row>
    <row r="1131" spans="1:10" ht="26.4" customHeight="1">
      <c r="A1131" s="12" t="s">
        <v>3738</v>
      </c>
      <c r="B1131" s="14" t="str">
        <f t="shared" si="19"/>
        <v>지도</v>
      </c>
      <c r="C1131" s="12" t="s">
        <v>59</v>
      </c>
      <c r="D1131" s="12" t="s">
        <v>3740</v>
      </c>
      <c r="E1131" s="12">
        <v>15</v>
      </c>
      <c r="F1131" s="12">
        <v>5000</v>
      </c>
      <c r="G1131" s="12">
        <v>330</v>
      </c>
      <c r="H1131" s="12">
        <v>5000</v>
      </c>
      <c r="I1131" s="12"/>
      <c r="J1131" s="12"/>
    </row>
    <row r="1132" spans="1:10" ht="26.4" customHeight="1">
      <c r="A1132" s="12" t="s">
        <v>3738</v>
      </c>
      <c r="B1132" s="14" t="str">
        <f t="shared" si="19"/>
        <v>지도</v>
      </c>
      <c r="C1132" s="12" t="s">
        <v>59</v>
      </c>
      <c r="D1132" s="12" t="s">
        <v>3741</v>
      </c>
      <c r="E1132" s="12">
        <v>15</v>
      </c>
      <c r="F1132" s="12">
        <v>5000</v>
      </c>
      <c r="G1132" s="12">
        <v>250</v>
      </c>
      <c r="H1132" s="12">
        <v>5000</v>
      </c>
      <c r="I1132" s="12"/>
      <c r="J1132" s="12"/>
    </row>
    <row r="1133" spans="1:10" ht="26.4" customHeight="1">
      <c r="A1133" s="12" t="s">
        <v>3742</v>
      </c>
      <c r="B1133" s="14" t="str">
        <f t="shared" si="19"/>
        <v>지도</v>
      </c>
      <c r="C1133" s="12" t="s">
        <v>59</v>
      </c>
      <c r="D1133" s="12" t="s">
        <v>3743</v>
      </c>
      <c r="E1133" s="12">
        <v>46</v>
      </c>
      <c r="F1133" s="12">
        <v>8000</v>
      </c>
      <c r="G1133" s="12">
        <v>500</v>
      </c>
      <c r="H1133" s="12">
        <v>10000</v>
      </c>
      <c r="I1133" s="12"/>
      <c r="J1133" s="12"/>
    </row>
    <row r="1134" spans="1:10" ht="26.4" customHeight="1">
      <c r="A1134" s="12" t="s">
        <v>3744</v>
      </c>
      <c r="B1134" s="14" t="str">
        <f t="shared" si="19"/>
        <v>지도</v>
      </c>
      <c r="C1134" s="12" t="s">
        <v>59</v>
      </c>
      <c r="D1134" s="12" t="s">
        <v>3745</v>
      </c>
      <c r="E1134" s="12">
        <v>60</v>
      </c>
      <c r="F1134" s="12">
        <v>12000</v>
      </c>
      <c r="G1134" s="12">
        <v>800</v>
      </c>
      <c r="H1134" s="12">
        <v>5000</v>
      </c>
      <c r="I1134" s="12"/>
      <c r="J1134" s="12"/>
    </row>
    <row r="1135" spans="1:10" ht="26.4" customHeight="1">
      <c r="A1135" s="12" t="s">
        <v>3746</v>
      </c>
      <c r="B1135" s="14" t="str">
        <f t="shared" si="19"/>
        <v>지도</v>
      </c>
      <c r="C1135" s="12" t="s">
        <v>59</v>
      </c>
      <c r="D1135" s="12" t="s">
        <v>3747</v>
      </c>
      <c r="E1135" s="12">
        <v>106.44</v>
      </c>
      <c r="F1135" s="12">
        <v>10000</v>
      </c>
      <c r="G1135" s="12">
        <v>1000</v>
      </c>
      <c r="H1135" s="12">
        <v>10000</v>
      </c>
      <c r="I1135" s="12"/>
      <c r="J1135" s="12" t="s">
        <v>3748</v>
      </c>
    </row>
    <row r="1136" spans="1:10" ht="26.4" customHeight="1">
      <c r="A1136" s="12" t="s">
        <v>3749</v>
      </c>
      <c r="B1136" s="14" t="str">
        <f t="shared" si="19"/>
        <v>지도</v>
      </c>
      <c r="C1136" s="12" t="s">
        <v>59</v>
      </c>
      <c r="D1136" s="12" t="s">
        <v>3750</v>
      </c>
      <c r="E1136" s="12">
        <v>40</v>
      </c>
      <c r="F1136" s="12">
        <v>10000</v>
      </c>
      <c r="G1136" s="12">
        <v>400</v>
      </c>
      <c r="H1136" s="12">
        <v>23000</v>
      </c>
      <c r="I1136" s="12"/>
      <c r="J1136" s="12"/>
    </row>
    <row r="1137" spans="1:10" ht="26.4" customHeight="1">
      <c r="A1137" s="12" t="s">
        <v>3751</v>
      </c>
      <c r="B1137" s="14" t="str">
        <f t="shared" si="19"/>
        <v>지도</v>
      </c>
      <c r="C1137" s="12" t="s">
        <v>59</v>
      </c>
      <c r="D1137" s="12" t="s">
        <v>66</v>
      </c>
      <c r="E1137" s="12">
        <v>15.46</v>
      </c>
      <c r="F1137" s="12">
        <v>5000</v>
      </c>
      <c r="G1137" s="12">
        <v>380</v>
      </c>
      <c r="H1137" s="12">
        <v>0</v>
      </c>
      <c r="I1137" s="12"/>
      <c r="J1137" s="12"/>
    </row>
    <row r="1139" spans="1:10" ht="26.4" customHeight="1">
      <c r="A1139" s="13" t="s">
        <v>0</v>
      </c>
      <c r="B1139" s="13" t="s">
        <v>925</v>
      </c>
      <c r="C1139" s="13" t="s">
        <v>2</v>
      </c>
      <c r="D1139" s="13" t="s">
        <v>1453</v>
      </c>
      <c r="E1139" s="13" t="s">
        <v>3</v>
      </c>
      <c r="F1139" s="13" t="s">
        <v>919</v>
      </c>
      <c r="G1139" s="13" t="s">
        <v>920</v>
      </c>
      <c r="H1139" s="13" t="s">
        <v>921</v>
      </c>
      <c r="I1139" s="13" t="s">
        <v>922</v>
      </c>
      <c r="J1139" s="13" t="s">
        <v>8</v>
      </c>
    </row>
    <row r="1140" spans="1:10" ht="26.4" customHeight="1">
      <c r="A1140" s="12" t="s">
        <v>3752</v>
      </c>
      <c r="B1140" s="14" t="str">
        <f t="shared" ref="B1140:B1152" si="20">HYPERLINK("https://map.naver.com/v5/search/" &amp; A1140, "지도")</f>
        <v>지도</v>
      </c>
      <c r="C1140" s="12" t="s">
        <v>59</v>
      </c>
      <c r="D1140" s="12" t="s">
        <v>3753</v>
      </c>
      <c r="E1140" s="12">
        <v>40.700000000000003</v>
      </c>
      <c r="F1140" s="12">
        <v>15000</v>
      </c>
      <c r="G1140" s="12">
        <v>700</v>
      </c>
      <c r="H1140" s="12">
        <v>15000</v>
      </c>
      <c r="I1140" s="12"/>
      <c r="J1140" s="12" t="s">
        <v>3754</v>
      </c>
    </row>
    <row r="1141" spans="1:10" ht="26.4" customHeight="1">
      <c r="A1141" s="12" t="s">
        <v>3755</v>
      </c>
      <c r="B1141" s="14" t="str">
        <f t="shared" si="20"/>
        <v>지도</v>
      </c>
      <c r="C1141" s="12" t="s">
        <v>59</v>
      </c>
      <c r="D1141" s="12" t="s">
        <v>1625</v>
      </c>
      <c r="E1141" s="12">
        <v>44.66</v>
      </c>
      <c r="F1141" s="12">
        <v>5000</v>
      </c>
      <c r="G1141" s="12">
        <v>310</v>
      </c>
      <c r="H1141" s="12">
        <v>16000</v>
      </c>
      <c r="I1141" s="12"/>
      <c r="J1141" s="12" t="s">
        <v>3754</v>
      </c>
    </row>
    <row r="1142" spans="1:10" ht="26.4" customHeight="1">
      <c r="A1142" s="12" t="s">
        <v>3756</v>
      </c>
      <c r="B1142" s="14" t="str">
        <f t="shared" si="20"/>
        <v>지도</v>
      </c>
      <c r="C1142" s="12" t="s">
        <v>59</v>
      </c>
      <c r="D1142" s="12" t="s">
        <v>3757</v>
      </c>
      <c r="E1142" s="12">
        <v>43.17</v>
      </c>
      <c r="F1142" s="12">
        <v>5000</v>
      </c>
      <c r="G1142" s="12">
        <v>260</v>
      </c>
      <c r="H1142" s="12">
        <v>4500</v>
      </c>
      <c r="I1142" s="12"/>
      <c r="J1142" s="12" t="s">
        <v>3758</v>
      </c>
    </row>
    <row r="1143" spans="1:10" ht="26.4" customHeight="1">
      <c r="A1143" s="12" t="s">
        <v>3759</v>
      </c>
      <c r="B1143" s="14" t="str">
        <f t="shared" si="20"/>
        <v>지도</v>
      </c>
      <c r="C1143" s="12" t="s">
        <v>59</v>
      </c>
      <c r="D1143" s="12" t="s">
        <v>3760</v>
      </c>
      <c r="E1143" s="12">
        <v>49.91</v>
      </c>
      <c r="F1143" s="12">
        <v>10000</v>
      </c>
      <c r="G1143" s="12">
        <v>330</v>
      </c>
      <c r="H1143" s="12">
        <v>13000</v>
      </c>
      <c r="I1143" s="12"/>
      <c r="J1143" s="12" t="s">
        <v>3761</v>
      </c>
    </row>
    <row r="1144" spans="1:10" ht="26.4" customHeight="1">
      <c r="A1144" s="12" t="s">
        <v>3762</v>
      </c>
      <c r="B1144" s="14" t="str">
        <f t="shared" si="20"/>
        <v>지도</v>
      </c>
      <c r="C1144" s="12" t="s">
        <v>59</v>
      </c>
      <c r="D1144" s="12" t="s">
        <v>66</v>
      </c>
      <c r="E1144" s="12">
        <v>28</v>
      </c>
      <c r="F1144" s="12">
        <v>3000</v>
      </c>
      <c r="G1144" s="12">
        <v>300</v>
      </c>
      <c r="H1144" s="12">
        <v>0</v>
      </c>
      <c r="I1144" s="12">
        <v>40</v>
      </c>
      <c r="J1144" s="12" t="s">
        <v>3763</v>
      </c>
    </row>
    <row r="1145" spans="1:10" ht="26.4" customHeight="1">
      <c r="A1145" s="12" t="s">
        <v>3764</v>
      </c>
      <c r="B1145" s="14" t="str">
        <f t="shared" si="20"/>
        <v>지도</v>
      </c>
      <c r="C1145" s="12" t="s">
        <v>59</v>
      </c>
      <c r="D1145" s="12" t="s">
        <v>66</v>
      </c>
      <c r="E1145" s="12">
        <v>60</v>
      </c>
      <c r="F1145" s="12">
        <v>25000</v>
      </c>
      <c r="G1145" s="12">
        <v>1000</v>
      </c>
      <c r="H1145" s="12">
        <v>0</v>
      </c>
      <c r="I1145" s="12"/>
      <c r="J1145" s="12" t="s">
        <v>3765</v>
      </c>
    </row>
    <row r="1146" spans="1:10" ht="26.4" customHeight="1">
      <c r="A1146" s="12" t="s">
        <v>3766</v>
      </c>
      <c r="B1146" s="14" t="str">
        <f t="shared" si="20"/>
        <v>지도</v>
      </c>
      <c r="C1146" s="12" t="s">
        <v>59</v>
      </c>
      <c r="D1146" s="12" t="s">
        <v>66</v>
      </c>
      <c r="E1146" s="12">
        <v>55</v>
      </c>
      <c r="F1146" s="12">
        <v>10000</v>
      </c>
      <c r="G1146" s="12">
        <v>700</v>
      </c>
      <c r="H1146" s="12">
        <v>0</v>
      </c>
      <c r="I1146" s="12"/>
      <c r="J1146" s="12" t="s">
        <v>3763</v>
      </c>
    </row>
    <row r="1147" spans="1:10" ht="26.4" customHeight="1">
      <c r="A1147" s="12" t="s">
        <v>3767</v>
      </c>
      <c r="B1147" s="14" t="str">
        <f t="shared" si="20"/>
        <v>지도</v>
      </c>
      <c r="C1147" s="12" t="s">
        <v>59</v>
      </c>
      <c r="D1147" s="12" t="s">
        <v>66</v>
      </c>
      <c r="E1147" s="12">
        <v>15.5</v>
      </c>
      <c r="F1147" s="12">
        <v>5000</v>
      </c>
      <c r="G1147" s="12">
        <v>300</v>
      </c>
      <c r="H1147" s="12">
        <v>0</v>
      </c>
      <c r="I1147" s="12">
        <v>30</v>
      </c>
      <c r="J1147" s="12" t="s">
        <v>3296</v>
      </c>
    </row>
    <row r="1148" spans="1:10" ht="26.4" customHeight="1">
      <c r="A1148" s="12" t="s">
        <v>3768</v>
      </c>
      <c r="B1148" s="14" t="str">
        <f t="shared" si="20"/>
        <v>지도</v>
      </c>
      <c r="C1148" s="12" t="s">
        <v>59</v>
      </c>
      <c r="D1148" s="12" t="s">
        <v>3769</v>
      </c>
      <c r="E1148" s="12">
        <v>15</v>
      </c>
      <c r="F1148" s="12">
        <v>5000</v>
      </c>
      <c r="G1148" s="12">
        <v>280</v>
      </c>
      <c r="H1148" s="12">
        <v>0</v>
      </c>
      <c r="I1148" s="12"/>
      <c r="J1148" s="12" t="s">
        <v>3770</v>
      </c>
    </row>
    <row r="1149" spans="1:10" ht="26.4" customHeight="1">
      <c r="A1149" s="12" t="s">
        <v>3771</v>
      </c>
      <c r="B1149" s="14" t="str">
        <f t="shared" si="20"/>
        <v>지도</v>
      </c>
      <c r="C1149" s="12" t="s">
        <v>59</v>
      </c>
      <c r="D1149" s="12" t="s">
        <v>3772</v>
      </c>
      <c r="E1149" s="12">
        <v>14</v>
      </c>
      <c r="F1149" s="12">
        <v>5000</v>
      </c>
      <c r="G1149" s="12">
        <v>450</v>
      </c>
      <c r="H1149" s="12">
        <v>3000</v>
      </c>
      <c r="I1149" s="12"/>
      <c r="J1149" s="12" t="s">
        <v>3077</v>
      </c>
    </row>
    <row r="1150" spans="1:10" ht="26.4" customHeight="1">
      <c r="A1150" s="12" t="s">
        <v>3771</v>
      </c>
      <c r="B1150" s="14" t="str">
        <f t="shared" si="20"/>
        <v>지도</v>
      </c>
      <c r="C1150" s="12" t="s">
        <v>59</v>
      </c>
      <c r="D1150" s="12" t="s">
        <v>3773</v>
      </c>
      <c r="E1150" s="12">
        <v>14</v>
      </c>
      <c r="F1150" s="12">
        <v>8000</v>
      </c>
      <c r="G1150" s="12">
        <v>470</v>
      </c>
      <c r="H1150" s="12">
        <v>2000</v>
      </c>
      <c r="I1150" s="12">
        <v>30</v>
      </c>
      <c r="J1150" s="12" t="s">
        <v>3077</v>
      </c>
    </row>
    <row r="1151" spans="1:10" ht="26.4" customHeight="1">
      <c r="A1151" s="12" t="s">
        <v>3774</v>
      </c>
      <c r="B1151" s="14" t="str">
        <f t="shared" si="20"/>
        <v>지도</v>
      </c>
      <c r="C1151" s="12" t="s">
        <v>60</v>
      </c>
      <c r="D1151" s="12" t="s">
        <v>66</v>
      </c>
      <c r="E1151" s="12">
        <v>29</v>
      </c>
      <c r="F1151" s="12">
        <v>4000</v>
      </c>
      <c r="G1151" s="12">
        <v>210</v>
      </c>
      <c r="H1151" s="12">
        <v>0</v>
      </c>
      <c r="I1151" s="12"/>
      <c r="J1151" s="12"/>
    </row>
    <row r="1152" spans="1:10" ht="26.4" customHeight="1">
      <c r="A1152" s="12" t="s">
        <v>3775</v>
      </c>
      <c r="B1152" s="14" t="str">
        <f t="shared" si="20"/>
        <v>지도</v>
      </c>
      <c r="C1152" s="12" t="s">
        <v>60</v>
      </c>
      <c r="D1152" s="12" t="s">
        <v>66</v>
      </c>
      <c r="E1152" s="12">
        <v>46</v>
      </c>
      <c r="F1152" s="12">
        <v>5000</v>
      </c>
      <c r="G1152" s="12">
        <v>460</v>
      </c>
      <c r="H1152" s="12">
        <v>0</v>
      </c>
      <c r="I1152" s="12"/>
      <c r="J1152" s="12" t="s">
        <v>3523</v>
      </c>
    </row>
    <row r="1154" spans="1:10" ht="26.4" customHeight="1">
      <c r="A1154" s="13" t="s">
        <v>0</v>
      </c>
      <c r="B1154" s="13" t="s">
        <v>925</v>
      </c>
      <c r="C1154" s="13" t="s">
        <v>2</v>
      </c>
      <c r="D1154" s="13" t="s">
        <v>1453</v>
      </c>
      <c r="E1154" s="13" t="s">
        <v>3</v>
      </c>
      <c r="F1154" s="13" t="s">
        <v>919</v>
      </c>
      <c r="G1154" s="13" t="s">
        <v>920</v>
      </c>
      <c r="H1154" s="13" t="s">
        <v>921</v>
      </c>
      <c r="I1154" s="13" t="s">
        <v>922</v>
      </c>
      <c r="J1154" s="13" t="s">
        <v>8</v>
      </c>
    </row>
    <row r="1155" spans="1:10" ht="26.4" customHeight="1">
      <c r="A1155" s="12" t="s">
        <v>3776</v>
      </c>
      <c r="B1155" s="14" t="str">
        <f t="shared" ref="B1155:B1163" si="21">HYPERLINK("https://map.naver.com/v5/search/" &amp; A1155, "지도")</f>
        <v>지도</v>
      </c>
      <c r="C1155" s="12" t="s">
        <v>59</v>
      </c>
      <c r="D1155" s="12" t="s">
        <v>66</v>
      </c>
      <c r="E1155" s="12">
        <v>63</v>
      </c>
      <c r="F1155" s="12">
        <v>6000</v>
      </c>
      <c r="G1155" s="12">
        <v>600</v>
      </c>
      <c r="H1155" s="12">
        <v>0</v>
      </c>
      <c r="I1155" s="12"/>
      <c r="J1155" s="12" t="s">
        <v>3777</v>
      </c>
    </row>
    <row r="1156" spans="1:10" ht="26.4" customHeight="1">
      <c r="A1156" s="12" t="s">
        <v>3778</v>
      </c>
      <c r="B1156" s="14" t="str">
        <f t="shared" si="21"/>
        <v>지도</v>
      </c>
      <c r="C1156" s="12" t="s">
        <v>59</v>
      </c>
      <c r="D1156" s="12" t="s">
        <v>66</v>
      </c>
      <c r="E1156" s="12">
        <v>60</v>
      </c>
      <c r="F1156" s="12">
        <v>15000</v>
      </c>
      <c r="G1156" s="12">
        <v>800</v>
      </c>
      <c r="H1156" s="12">
        <v>0</v>
      </c>
      <c r="I1156" s="12"/>
      <c r="J1156" s="12" t="s">
        <v>3779</v>
      </c>
    </row>
    <row r="1157" spans="1:10" ht="26.4" customHeight="1">
      <c r="A1157" s="12" t="s">
        <v>3780</v>
      </c>
      <c r="B1157" s="14" t="str">
        <f t="shared" si="21"/>
        <v>지도</v>
      </c>
      <c r="C1157" s="12" t="s">
        <v>59</v>
      </c>
      <c r="D1157" s="12" t="s">
        <v>3781</v>
      </c>
      <c r="E1157" s="12">
        <v>75</v>
      </c>
      <c r="F1157" s="12">
        <v>5000</v>
      </c>
      <c r="G1157" s="12">
        <v>480</v>
      </c>
      <c r="H1157" s="12">
        <v>5000</v>
      </c>
      <c r="I1157" s="12">
        <v>95</v>
      </c>
      <c r="J1157" s="12" t="s">
        <v>3782</v>
      </c>
    </row>
    <row r="1158" spans="1:10" ht="26.4" customHeight="1">
      <c r="A1158" s="12" t="s">
        <v>3783</v>
      </c>
      <c r="B1158" s="14" t="str">
        <f t="shared" si="21"/>
        <v>지도</v>
      </c>
      <c r="C1158" s="12" t="s">
        <v>59</v>
      </c>
      <c r="D1158" s="12" t="s">
        <v>3784</v>
      </c>
      <c r="E1158" s="12">
        <v>52</v>
      </c>
      <c r="F1158" s="12">
        <v>15000</v>
      </c>
      <c r="G1158" s="12">
        <v>600</v>
      </c>
      <c r="H1158" s="12">
        <v>20000</v>
      </c>
      <c r="I1158" s="12"/>
      <c r="J1158" s="12"/>
    </row>
    <row r="1159" spans="1:10" ht="26.4" customHeight="1">
      <c r="A1159" s="12" t="s">
        <v>3785</v>
      </c>
      <c r="B1159" s="14" t="str">
        <f t="shared" si="21"/>
        <v>지도</v>
      </c>
      <c r="C1159" s="12" t="s">
        <v>59</v>
      </c>
      <c r="D1159" s="12" t="s">
        <v>3786</v>
      </c>
      <c r="E1159" s="12">
        <v>52</v>
      </c>
      <c r="F1159" s="12">
        <v>12000</v>
      </c>
      <c r="G1159" s="12">
        <v>680</v>
      </c>
      <c r="H1159" s="12">
        <v>11000</v>
      </c>
      <c r="I1159" s="12"/>
      <c r="J1159" s="12"/>
    </row>
    <row r="1160" spans="1:10" ht="26.4" customHeight="1">
      <c r="A1160" s="12" t="s">
        <v>3787</v>
      </c>
      <c r="B1160" s="14" t="str">
        <f t="shared" si="21"/>
        <v>지도</v>
      </c>
      <c r="C1160" s="12" t="s">
        <v>59</v>
      </c>
      <c r="D1160" s="12" t="s">
        <v>3788</v>
      </c>
      <c r="E1160" s="12">
        <v>50</v>
      </c>
      <c r="F1160" s="12">
        <v>3000</v>
      </c>
      <c r="G1160" s="12">
        <v>310</v>
      </c>
      <c r="H1160" s="12">
        <v>5000</v>
      </c>
      <c r="I1160" s="12"/>
      <c r="J1160" s="12"/>
    </row>
    <row r="1161" spans="1:10" ht="26.4" customHeight="1">
      <c r="A1161" s="12" t="s">
        <v>3789</v>
      </c>
      <c r="B1161" s="14" t="str">
        <f t="shared" si="21"/>
        <v>지도</v>
      </c>
      <c r="C1161" s="12" t="s">
        <v>59</v>
      </c>
      <c r="D1161" s="12" t="s">
        <v>3790</v>
      </c>
      <c r="E1161" s="12">
        <v>60</v>
      </c>
      <c r="F1161" s="12">
        <v>5000</v>
      </c>
      <c r="G1161" s="12">
        <v>300</v>
      </c>
      <c r="H1161" s="12">
        <v>10000</v>
      </c>
      <c r="I1161" s="12"/>
      <c r="J1161" s="12" t="s">
        <v>3121</v>
      </c>
    </row>
    <row r="1162" spans="1:10" ht="26.4" customHeight="1">
      <c r="A1162" s="12" t="s">
        <v>3791</v>
      </c>
      <c r="B1162" s="14" t="str">
        <f t="shared" si="21"/>
        <v>지도</v>
      </c>
      <c r="C1162" s="12" t="s">
        <v>59</v>
      </c>
      <c r="D1162" s="12" t="s">
        <v>1537</v>
      </c>
      <c r="E1162" s="12">
        <v>55</v>
      </c>
      <c r="F1162" s="12">
        <v>8000</v>
      </c>
      <c r="G1162" s="12">
        <v>400</v>
      </c>
      <c r="H1162" s="12">
        <v>4000</v>
      </c>
      <c r="I1162" s="12"/>
      <c r="J1162" s="12" t="s">
        <v>3121</v>
      </c>
    </row>
    <row r="1163" spans="1:10" ht="26.4" customHeight="1">
      <c r="A1163" s="12" t="s">
        <v>3792</v>
      </c>
      <c r="B1163" s="14" t="str">
        <f t="shared" si="21"/>
        <v>지도</v>
      </c>
      <c r="C1163" s="12" t="s">
        <v>59</v>
      </c>
      <c r="D1163" s="12" t="s">
        <v>620</v>
      </c>
      <c r="E1163" s="12">
        <v>70</v>
      </c>
      <c r="F1163" s="12">
        <v>3000</v>
      </c>
      <c r="G1163" s="12">
        <v>280</v>
      </c>
      <c r="H1163" s="12">
        <v>8000</v>
      </c>
      <c r="I1163" s="12"/>
      <c r="J1163" s="12" t="s">
        <v>3121</v>
      </c>
    </row>
    <row r="1165" spans="1:10" ht="26.4" customHeight="1">
      <c r="A1165" s="13" t="s">
        <v>0</v>
      </c>
      <c r="B1165" s="13" t="s">
        <v>925</v>
      </c>
      <c r="C1165" s="13" t="s">
        <v>2</v>
      </c>
      <c r="D1165" s="13" t="s">
        <v>1453</v>
      </c>
      <c r="E1165" s="13" t="s">
        <v>3</v>
      </c>
      <c r="F1165" s="13" t="s">
        <v>919</v>
      </c>
      <c r="G1165" s="13" t="s">
        <v>920</v>
      </c>
      <c r="H1165" s="13" t="s">
        <v>921</v>
      </c>
      <c r="I1165" s="13" t="s">
        <v>922</v>
      </c>
      <c r="J1165" s="13" t="s">
        <v>8</v>
      </c>
    </row>
    <row r="1166" spans="1:10" ht="26.4" customHeight="1">
      <c r="A1166" s="12" t="s">
        <v>3793</v>
      </c>
      <c r="B1166" s="14" t="str">
        <f t="shared" ref="B1166:B1174" si="22">HYPERLINK("https://map.naver.com/v5/search/" &amp; A1166, "지도")</f>
        <v>지도</v>
      </c>
      <c r="C1166" s="12" t="s">
        <v>59</v>
      </c>
      <c r="D1166" s="12" t="s">
        <v>3794</v>
      </c>
      <c r="E1166" s="12">
        <v>33</v>
      </c>
      <c r="F1166" s="12">
        <v>3000</v>
      </c>
      <c r="G1166" s="12">
        <v>260</v>
      </c>
      <c r="H1166" s="12">
        <v>8000</v>
      </c>
      <c r="I1166" s="12">
        <v>2</v>
      </c>
      <c r="J1166" s="12" t="s">
        <v>3121</v>
      </c>
    </row>
    <row r="1167" spans="1:10" ht="26.4" customHeight="1">
      <c r="A1167" s="12" t="s">
        <v>3795</v>
      </c>
      <c r="B1167" s="14" t="str">
        <f t="shared" si="22"/>
        <v>지도</v>
      </c>
      <c r="C1167" s="12" t="s">
        <v>59</v>
      </c>
      <c r="D1167" s="12" t="s">
        <v>3796</v>
      </c>
      <c r="E1167" s="12">
        <v>34</v>
      </c>
      <c r="F1167" s="12">
        <v>2000</v>
      </c>
      <c r="G1167" s="12">
        <v>215</v>
      </c>
      <c r="H1167" s="12">
        <v>5500</v>
      </c>
      <c r="I1167" s="12"/>
      <c r="J1167" s="12"/>
    </row>
    <row r="1168" spans="1:10" ht="26.4" customHeight="1">
      <c r="A1168" s="12" t="s">
        <v>3797</v>
      </c>
      <c r="B1168" s="14" t="str">
        <f t="shared" si="22"/>
        <v>지도</v>
      </c>
      <c r="C1168" s="12" t="s">
        <v>59</v>
      </c>
      <c r="D1168" s="12" t="s">
        <v>3798</v>
      </c>
      <c r="E1168" s="12">
        <v>32</v>
      </c>
      <c r="F1168" s="12">
        <v>3000</v>
      </c>
      <c r="G1168" s="12">
        <v>260</v>
      </c>
      <c r="H1168" s="12">
        <v>9000</v>
      </c>
      <c r="I1168" s="12"/>
      <c r="J1168" s="12"/>
    </row>
    <row r="1169" spans="1:10" ht="26.4" customHeight="1">
      <c r="A1169" s="12" t="s">
        <v>3799</v>
      </c>
      <c r="B1169" s="14" t="str">
        <f t="shared" si="22"/>
        <v>지도</v>
      </c>
      <c r="C1169" s="12" t="s">
        <v>59</v>
      </c>
      <c r="D1169" s="12" t="s">
        <v>66</v>
      </c>
      <c r="E1169" s="12">
        <v>39.6</v>
      </c>
      <c r="F1169" s="12">
        <v>6000</v>
      </c>
      <c r="G1169" s="12">
        <v>400</v>
      </c>
      <c r="H1169" s="12">
        <v>0</v>
      </c>
      <c r="I1169" s="12"/>
      <c r="J1169" s="12"/>
    </row>
    <row r="1170" spans="1:10" ht="26.4" customHeight="1">
      <c r="A1170" s="12" t="s">
        <v>3800</v>
      </c>
      <c r="B1170" s="14" t="str">
        <f t="shared" si="22"/>
        <v>지도</v>
      </c>
      <c r="C1170" s="12" t="s">
        <v>59</v>
      </c>
      <c r="D1170" s="12" t="s">
        <v>66</v>
      </c>
      <c r="E1170" s="12">
        <v>18.100000000000001</v>
      </c>
      <c r="F1170" s="12">
        <v>3000</v>
      </c>
      <c r="G1170" s="12">
        <v>250</v>
      </c>
      <c r="H1170" s="12">
        <v>0</v>
      </c>
      <c r="I1170" s="12">
        <v>10</v>
      </c>
      <c r="J1170" s="12" t="s">
        <v>3801</v>
      </c>
    </row>
    <row r="1171" spans="1:10" ht="26.4" customHeight="1">
      <c r="A1171" s="12" t="s">
        <v>3802</v>
      </c>
      <c r="B1171" s="14" t="str">
        <f t="shared" si="22"/>
        <v>지도</v>
      </c>
      <c r="C1171" s="12" t="s">
        <v>59</v>
      </c>
      <c r="D1171" s="12" t="s">
        <v>66</v>
      </c>
      <c r="E1171" s="12">
        <v>25</v>
      </c>
      <c r="F1171" s="12">
        <v>6000</v>
      </c>
      <c r="G1171" s="12">
        <v>300</v>
      </c>
      <c r="H1171" s="12">
        <v>0</v>
      </c>
      <c r="I1171" s="12"/>
      <c r="J1171" s="12"/>
    </row>
    <row r="1172" spans="1:10" ht="26.4" customHeight="1">
      <c r="A1172" s="12" t="s">
        <v>3803</v>
      </c>
      <c r="B1172" s="14" t="str">
        <f t="shared" si="22"/>
        <v>지도</v>
      </c>
      <c r="C1172" s="12" t="s">
        <v>59</v>
      </c>
      <c r="D1172" s="12" t="s">
        <v>3804</v>
      </c>
      <c r="E1172" s="12">
        <v>26</v>
      </c>
      <c r="F1172" s="12">
        <v>4000</v>
      </c>
      <c r="G1172" s="12">
        <v>230</v>
      </c>
      <c r="H1172" s="12">
        <v>1000</v>
      </c>
      <c r="I1172" s="12"/>
      <c r="J1172" s="12"/>
    </row>
    <row r="1173" spans="1:10" ht="26.4" customHeight="1">
      <c r="A1173" s="12" t="s">
        <v>3805</v>
      </c>
      <c r="B1173" s="14" t="str">
        <f t="shared" si="22"/>
        <v>지도</v>
      </c>
      <c r="C1173" s="12" t="s">
        <v>59</v>
      </c>
      <c r="D1173" s="12" t="s">
        <v>3806</v>
      </c>
      <c r="E1173" s="12">
        <v>15</v>
      </c>
      <c r="F1173" s="12">
        <v>5000</v>
      </c>
      <c r="G1173" s="12">
        <v>240</v>
      </c>
      <c r="H1173" s="12">
        <v>6000</v>
      </c>
      <c r="I1173" s="12"/>
      <c r="J1173" s="12" t="s">
        <v>3523</v>
      </c>
    </row>
    <row r="1174" spans="1:10" ht="26.4" customHeight="1">
      <c r="A1174" s="12" t="s">
        <v>3807</v>
      </c>
      <c r="B1174" s="14" t="str">
        <f t="shared" si="22"/>
        <v>지도</v>
      </c>
      <c r="C1174" s="12" t="s">
        <v>59</v>
      </c>
      <c r="D1174" s="12" t="s">
        <v>66</v>
      </c>
      <c r="E1174" s="12">
        <v>34</v>
      </c>
      <c r="F1174" s="12">
        <v>3000</v>
      </c>
      <c r="G1174" s="12">
        <v>250</v>
      </c>
      <c r="H1174" s="12">
        <v>0</v>
      </c>
      <c r="I1174" s="12">
        <v>15</v>
      </c>
      <c r="J1174" s="12" t="s">
        <v>3808</v>
      </c>
    </row>
    <row r="1176" spans="1:10" ht="26.4" customHeight="1">
      <c r="A1176" s="13" t="s">
        <v>0</v>
      </c>
      <c r="B1176" s="13" t="s">
        <v>925</v>
      </c>
      <c r="C1176" s="13" t="s">
        <v>2</v>
      </c>
      <c r="D1176" s="13" t="s">
        <v>1453</v>
      </c>
      <c r="E1176" s="13" t="s">
        <v>3</v>
      </c>
      <c r="F1176" s="13" t="s">
        <v>919</v>
      </c>
      <c r="G1176" s="13" t="s">
        <v>920</v>
      </c>
      <c r="H1176" s="13" t="s">
        <v>921</v>
      </c>
      <c r="I1176" s="13" t="s">
        <v>922</v>
      </c>
      <c r="J1176" s="13" t="s">
        <v>8</v>
      </c>
    </row>
    <row r="1177" spans="1:10" ht="26.4" customHeight="1">
      <c r="A1177" s="12" t="s">
        <v>3809</v>
      </c>
      <c r="B1177" s="14" t="str">
        <f t="shared" ref="B1177:B1184" si="23">HYPERLINK("https://map.naver.com/v5/search/" &amp; A1177, "지도")</f>
        <v>지도</v>
      </c>
      <c r="C1177" s="12" t="s">
        <v>59</v>
      </c>
      <c r="D1177" s="12" t="s">
        <v>66</v>
      </c>
      <c r="E1177" s="12">
        <v>36</v>
      </c>
      <c r="F1177" s="12">
        <v>10000</v>
      </c>
      <c r="G1177" s="12">
        <v>650</v>
      </c>
      <c r="H1177" s="12">
        <v>0</v>
      </c>
      <c r="I1177" s="12"/>
      <c r="J1177" s="12"/>
    </row>
    <row r="1178" spans="1:10" ht="26.4" customHeight="1">
      <c r="A1178" s="12" t="s">
        <v>3810</v>
      </c>
      <c r="B1178" s="14" t="str">
        <f t="shared" si="23"/>
        <v>지도</v>
      </c>
      <c r="C1178" s="12" t="s">
        <v>59</v>
      </c>
      <c r="D1178" s="12" t="s">
        <v>66</v>
      </c>
      <c r="E1178" s="12">
        <v>36</v>
      </c>
      <c r="F1178" s="12">
        <v>6000</v>
      </c>
      <c r="G1178" s="12">
        <v>600</v>
      </c>
      <c r="H1178" s="12">
        <v>0</v>
      </c>
      <c r="I1178" s="12"/>
      <c r="J1178" s="12"/>
    </row>
    <row r="1179" spans="1:10" ht="26.4" customHeight="1">
      <c r="A1179" s="12" t="s">
        <v>3811</v>
      </c>
      <c r="B1179" s="14" t="str">
        <f t="shared" si="23"/>
        <v>지도</v>
      </c>
      <c r="C1179" s="12" t="s">
        <v>60</v>
      </c>
      <c r="D1179" s="12" t="s">
        <v>66</v>
      </c>
      <c r="E1179" s="12">
        <v>38</v>
      </c>
      <c r="F1179" s="12">
        <v>3000</v>
      </c>
      <c r="G1179" s="12">
        <v>300</v>
      </c>
      <c r="H1179" s="12">
        <v>0</v>
      </c>
      <c r="I1179" s="12">
        <v>40</v>
      </c>
      <c r="J1179" s="12"/>
    </row>
    <row r="1180" spans="1:10" ht="26.4" customHeight="1">
      <c r="A1180" s="12" t="s">
        <v>3812</v>
      </c>
      <c r="B1180" s="14" t="str">
        <f t="shared" si="23"/>
        <v>지도</v>
      </c>
      <c r="C1180" s="12" t="s">
        <v>59</v>
      </c>
      <c r="D1180" s="12" t="s">
        <v>66</v>
      </c>
      <c r="E1180" s="12">
        <v>60</v>
      </c>
      <c r="F1180" s="12">
        <v>6000</v>
      </c>
      <c r="G1180" s="12">
        <v>320</v>
      </c>
      <c r="H1180" s="12">
        <v>0</v>
      </c>
      <c r="I1180" s="12"/>
      <c r="J1180" s="12" t="s">
        <v>3813</v>
      </c>
    </row>
    <row r="1181" spans="1:10" ht="26.4" customHeight="1">
      <c r="A1181" s="12" t="s">
        <v>3814</v>
      </c>
      <c r="B1181" s="14" t="str">
        <f t="shared" si="23"/>
        <v>지도</v>
      </c>
      <c r="C1181" s="12" t="s">
        <v>59</v>
      </c>
      <c r="D1181" s="12" t="s">
        <v>1821</v>
      </c>
      <c r="E1181" s="12">
        <v>39</v>
      </c>
      <c r="F1181" s="12">
        <v>8000</v>
      </c>
      <c r="G1181" s="12">
        <v>420</v>
      </c>
      <c r="H1181" s="12">
        <v>15000</v>
      </c>
      <c r="I1181" s="12">
        <v>20</v>
      </c>
      <c r="J1181" s="12" t="s">
        <v>2010</v>
      </c>
    </row>
    <row r="1182" spans="1:10" ht="26.4" customHeight="1">
      <c r="A1182" s="12" t="s">
        <v>3815</v>
      </c>
      <c r="B1182" s="14" t="str">
        <f t="shared" si="23"/>
        <v>지도</v>
      </c>
      <c r="C1182" s="12" t="s">
        <v>59</v>
      </c>
      <c r="D1182" s="12" t="s">
        <v>66</v>
      </c>
      <c r="E1182" s="12">
        <v>40</v>
      </c>
      <c r="F1182" s="12">
        <v>2000</v>
      </c>
      <c r="G1182" s="12">
        <v>150</v>
      </c>
      <c r="H1182" s="12">
        <v>0</v>
      </c>
      <c r="I1182" s="12"/>
      <c r="J1182" s="12" t="s">
        <v>3816</v>
      </c>
    </row>
    <row r="1183" spans="1:10" ht="26.4" customHeight="1">
      <c r="A1183" s="12" t="s">
        <v>3817</v>
      </c>
      <c r="B1183" s="14" t="str">
        <f t="shared" si="23"/>
        <v>지도</v>
      </c>
      <c r="C1183" s="12" t="s">
        <v>59</v>
      </c>
      <c r="D1183" s="12" t="s">
        <v>3757</v>
      </c>
      <c r="E1183" s="12">
        <v>58</v>
      </c>
      <c r="F1183" s="12">
        <v>7000</v>
      </c>
      <c r="G1183" s="12">
        <v>700</v>
      </c>
      <c r="H1183" s="12">
        <v>20000</v>
      </c>
      <c r="I1183" s="12"/>
      <c r="J1183" s="12"/>
    </row>
    <row r="1184" spans="1:10" ht="26.4" customHeight="1">
      <c r="A1184" s="12" t="s">
        <v>3818</v>
      </c>
      <c r="B1184" s="14" t="str">
        <f t="shared" si="23"/>
        <v>지도</v>
      </c>
      <c r="C1184" s="12" t="s">
        <v>59</v>
      </c>
      <c r="D1184" s="12" t="s">
        <v>66</v>
      </c>
      <c r="E1184" s="12">
        <v>18</v>
      </c>
      <c r="F1184" s="12">
        <v>3000</v>
      </c>
      <c r="G1184" s="12">
        <v>200</v>
      </c>
      <c r="H1184" s="12">
        <v>0</v>
      </c>
      <c r="I1184" s="12"/>
      <c r="J1184" s="12"/>
    </row>
    <row r="1186" spans="1:10" ht="26.4" customHeight="1">
      <c r="A1186" s="13" t="s">
        <v>0</v>
      </c>
      <c r="B1186" s="34" t="s">
        <v>960</v>
      </c>
      <c r="C1186" s="13" t="s">
        <v>2</v>
      </c>
      <c r="D1186" s="13" t="s">
        <v>1453</v>
      </c>
      <c r="E1186" s="13" t="s">
        <v>3850</v>
      </c>
      <c r="F1186" s="13" t="s">
        <v>919</v>
      </c>
      <c r="G1186" s="13" t="s">
        <v>1551</v>
      </c>
      <c r="H1186" s="13" t="s">
        <v>921</v>
      </c>
      <c r="I1186" s="13" t="s">
        <v>922</v>
      </c>
      <c r="J1186" s="13" t="s">
        <v>8</v>
      </c>
    </row>
    <row r="1187" spans="1:10" ht="26.4" customHeight="1">
      <c r="A1187" s="12" t="s">
        <v>3819</v>
      </c>
      <c r="B1187" s="14" t="str">
        <f t="shared" ref="B1187:B1219" si="24">HYPERLINK("https://map.naver.com/v5/search/" &amp; A1187, "지도")</f>
        <v>지도</v>
      </c>
      <c r="C1187" s="12" t="s">
        <v>59</v>
      </c>
      <c r="D1187" s="12" t="s">
        <v>3820</v>
      </c>
      <c r="E1187" s="12" t="s">
        <v>3851</v>
      </c>
      <c r="F1187" s="16">
        <v>5000</v>
      </c>
      <c r="G1187" s="12">
        <v>400</v>
      </c>
      <c r="H1187" s="12" t="s">
        <v>1908</v>
      </c>
      <c r="I1187" s="12">
        <v>20</v>
      </c>
      <c r="J1187" s="12" t="s">
        <v>3852</v>
      </c>
    </row>
    <row r="1188" spans="1:10" ht="26.4" customHeight="1">
      <c r="A1188" s="12" t="s">
        <v>3821</v>
      </c>
      <c r="B1188" s="14" t="str">
        <f t="shared" si="24"/>
        <v>지도</v>
      </c>
      <c r="C1188" s="12" t="s">
        <v>60</v>
      </c>
      <c r="D1188" s="12" t="s">
        <v>66</v>
      </c>
      <c r="E1188" s="12" t="s">
        <v>3853</v>
      </c>
      <c r="F1188" s="16">
        <v>10000</v>
      </c>
      <c r="G1188" s="12">
        <v>700</v>
      </c>
      <c r="H1188" s="12" t="s">
        <v>210</v>
      </c>
      <c r="I1188" s="12">
        <v>100</v>
      </c>
      <c r="J1188" s="12" t="s">
        <v>3854</v>
      </c>
    </row>
    <row r="1189" spans="1:10" ht="26.4" customHeight="1">
      <c r="A1189" s="12" t="s">
        <v>3822</v>
      </c>
      <c r="B1189" s="14" t="str">
        <f t="shared" si="24"/>
        <v>지도</v>
      </c>
      <c r="C1189" s="12" t="s">
        <v>59</v>
      </c>
      <c r="D1189" s="12" t="s">
        <v>66</v>
      </c>
      <c r="E1189" s="12" t="s">
        <v>1701</v>
      </c>
      <c r="F1189" s="16">
        <v>6000</v>
      </c>
      <c r="G1189" s="12">
        <v>370</v>
      </c>
      <c r="H1189" s="12" t="s">
        <v>210</v>
      </c>
      <c r="I1189" s="12" t="s">
        <v>210</v>
      </c>
      <c r="J1189" s="12"/>
    </row>
    <row r="1190" spans="1:10" ht="26.4" customHeight="1">
      <c r="A1190" s="12" t="s">
        <v>3823</v>
      </c>
      <c r="B1190" s="14" t="str">
        <f t="shared" si="24"/>
        <v>지도</v>
      </c>
      <c r="C1190" s="12" t="s">
        <v>59</v>
      </c>
      <c r="D1190" s="12" t="s">
        <v>3824</v>
      </c>
      <c r="E1190" s="12" t="s">
        <v>3855</v>
      </c>
      <c r="F1190" s="16">
        <v>3000</v>
      </c>
      <c r="G1190" s="12">
        <v>230</v>
      </c>
      <c r="H1190" s="12" t="s">
        <v>210</v>
      </c>
      <c r="I1190" s="12">
        <v>23</v>
      </c>
      <c r="J1190" s="12" t="s">
        <v>3856</v>
      </c>
    </row>
    <row r="1191" spans="1:10" ht="26.4" customHeight="1">
      <c r="A1191" s="12" t="s">
        <v>3825</v>
      </c>
      <c r="B1191" s="14" t="str">
        <f t="shared" si="24"/>
        <v>지도</v>
      </c>
      <c r="C1191" s="12" t="s">
        <v>59</v>
      </c>
      <c r="D1191" s="12" t="s">
        <v>3826</v>
      </c>
      <c r="E1191" s="12" t="s">
        <v>1018</v>
      </c>
      <c r="F1191" s="16">
        <v>5000</v>
      </c>
      <c r="G1191" s="12">
        <v>420</v>
      </c>
      <c r="H1191" s="16">
        <v>5000</v>
      </c>
      <c r="I1191" s="12" t="s">
        <v>210</v>
      </c>
      <c r="J1191" s="12"/>
    </row>
    <row r="1192" spans="1:10" ht="26.4" customHeight="1">
      <c r="A1192" s="12" t="s">
        <v>3827</v>
      </c>
      <c r="B1192" s="14" t="str">
        <f t="shared" si="24"/>
        <v>지도</v>
      </c>
      <c r="C1192" s="12" t="s">
        <v>59</v>
      </c>
      <c r="D1192" s="12" t="s">
        <v>3274</v>
      </c>
      <c r="E1192" s="12" t="s">
        <v>1023</v>
      </c>
      <c r="F1192" s="16">
        <v>6000</v>
      </c>
      <c r="G1192" s="12">
        <v>320</v>
      </c>
      <c r="H1192" s="12" t="s">
        <v>210</v>
      </c>
      <c r="I1192" s="12" t="s">
        <v>210</v>
      </c>
      <c r="J1192" s="12" t="s">
        <v>3857</v>
      </c>
    </row>
    <row r="1193" spans="1:10" ht="26.4" customHeight="1">
      <c r="A1193" s="12" t="s">
        <v>3828</v>
      </c>
      <c r="B1193" s="14" t="str">
        <f t="shared" si="24"/>
        <v>지도</v>
      </c>
      <c r="C1193" s="12" t="s">
        <v>59</v>
      </c>
      <c r="D1193" s="12" t="s">
        <v>66</v>
      </c>
      <c r="E1193" s="12" t="s">
        <v>939</v>
      </c>
      <c r="F1193" s="16">
        <v>6000</v>
      </c>
      <c r="G1193" s="12">
        <v>400</v>
      </c>
      <c r="H1193" s="12" t="s">
        <v>210</v>
      </c>
      <c r="I1193" s="12" t="s">
        <v>210</v>
      </c>
      <c r="J1193" s="12" t="s">
        <v>3858</v>
      </c>
    </row>
    <row r="1194" spans="1:10" ht="26.4" customHeight="1">
      <c r="A1194" s="12" t="s">
        <v>3829</v>
      </c>
      <c r="B1194" s="14" t="str">
        <f t="shared" si="24"/>
        <v>지도</v>
      </c>
      <c r="C1194" s="12" t="s">
        <v>59</v>
      </c>
      <c r="D1194" s="12" t="s">
        <v>66</v>
      </c>
      <c r="E1194" s="12" t="s">
        <v>1059</v>
      </c>
      <c r="F1194" s="16">
        <v>10000</v>
      </c>
      <c r="G1194" s="12">
        <v>600</v>
      </c>
      <c r="H1194" s="12" t="s">
        <v>210</v>
      </c>
      <c r="I1194" s="12" t="s">
        <v>210</v>
      </c>
      <c r="J1194" s="12"/>
    </row>
    <row r="1195" spans="1:10" ht="26.4" customHeight="1">
      <c r="A1195" s="12" t="s">
        <v>2777</v>
      </c>
      <c r="B1195" s="14" t="str">
        <f t="shared" si="24"/>
        <v>지도</v>
      </c>
      <c r="C1195" s="12" t="s">
        <v>59</v>
      </c>
      <c r="D1195" s="12" t="s">
        <v>2778</v>
      </c>
      <c r="E1195" s="12" t="s">
        <v>3859</v>
      </c>
      <c r="F1195" s="16">
        <v>4000</v>
      </c>
      <c r="G1195" s="12">
        <v>284</v>
      </c>
      <c r="H1195" s="16">
        <v>5000</v>
      </c>
      <c r="I1195" s="12" t="s">
        <v>210</v>
      </c>
      <c r="J1195" s="12"/>
    </row>
    <row r="1196" spans="1:10" ht="26.4" customHeight="1">
      <c r="A1196" s="12" t="s">
        <v>3830</v>
      </c>
      <c r="B1196" s="14" t="str">
        <f t="shared" si="24"/>
        <v>지도</v>
      </c>
      <c r="C1196" s="12" t="s">
        <v>59</v>
      </c>
      <c r="D1196" s="12" t="s">
        <v>3860</v>
      </c>
      <c r="E1196" s="12" t="s">
        <v>1090</v>
      </c>
      <c r="F1196" s="16">
        <v>3000</v>
      </c>
      <c r="G1196" s="12">
        <v>230</v>
      </c>
      <c r="H1196" s="16">
        <v>2000</v>
      </c>
      <c r="I1196" s="12">
        <v>25</v>
      </c>
      <c r="J1196" s="12"/>
    </row>
    <row r="1197" spans="1:10" ht="26.4" customHeight="1">
      <c r="A1197" s="12" t="s">
        <v>3831</v>
      </c>
      <c r="B1197" s="14" t="str">
        <f t="shared" si="24"/>
        <v>지도</v>
      </c>
      <c r="C1197" s="12" t="s">
        <v>59</v>
      </c>
      <c r="D1197" s="12" t="s">
        <v>66</v>
      </c>
      <c r="E1197" s="12" t="s">
        <v>1090</v>
      </c>
      <c r="F1197" s="16">
        <v>2500</v>
      </c>
      <c r="G1197" s="12">
        <v>200</v>
      </c>
      <c r="H1197" s="12" t="s">
        <v>210</v>
      </c>
      <c r="I1197" s="12" t="s">
        <v>210</v>
      </c>
      <c r="J1197" s="12"/>
    </row>
    <row r="1198" spans="1:10" ht="26.4" customHeight="1">
      <c r="A1198" s="12" t="s">
        <v>3832</v>
      </c>
      <c r="B1198" s="14" t="str">
        <f t="shared" si="24"/>
        <v>지도</v>
      </c>
      <c r="C1198" s="12" t="s">
        <v>59</v>
      </c>
      <c r="D1198" s="12" t="s">
        <v>66</v>
      </c>
      <c r="E1198" s="12" t="s">
        <v>1029</v>
      </c>
      <c r="F1198" s="16">
        <v>5000</v>
      </c>
      <c r="G1198" s="12">
        <v>400</v>
      </c>
      <c r="H1198" s="12" t="s">
        <v>210</v>
      </c>
      <c r="I1198" s="12" t="s">
        <v>210</v>
      </c>
      <c r="J1198" s="12" t="s">
        <v>3861</v>
      </c>
    </row>
    <row r="1199" spans="1:10" ht="26.4" customHeight="1">
      <c r="A1199" s="12" t="s">
        <v>3833</v>
      </c>
      <c r="B1199" s="14" t="str">
        <f t="shared" si="24"/>
        <v>지도</v>
      </c>
      <c r="C1199" s="12" t="s">
        <v>59</v>
      </c>
      <c r="D1199" s="12" t="s">
        <v>3862</v>
      </c>
      <c r="E1199" s="12" t="s">
        <v>933</v>
      </c>
      <c r="F1199" s="16">
        <v>6000</v>
      </c>
      <c r="G1199" s="12">
        <v>370</v>
      </c>
      <c r="H1199" s="12" t="s">
        <v>1893</v>
      </c>
      <c r="I1199" s="12" t="s">
        <v>210</v>
      </c>
      <c r="J1199" s="12"/>
    </row>
    <row r="1200" spans="1:10" ht="26.4" customHeight="1">
      <c r="A1200" s="12" t="s">
        <v>3834</v>
      </c>
      <c r="B1200" s="14" t="str">
        <f t="shared" si="24"/>
        <v>지도</v>
      </c>
      <c r="C1200" s="12" t="s">
        <v>59</v>
      </c>
      <c r="D1200" s="12" t="s">
        <v>3835</v>
      </c>
      <c r="E1200" s="12" t="s">
        <v>3863</v>
      </c>
      <c r="F1200" s="16">
        <v>2000</v>
      </c>
      <c r="G1200" s="12">
        <v>160</v>
      </c>
      <c r="H1200" s="16">
        <v>4000</v>
      </c>
      <c r="I1200" s="12">
        <v>2</v>
      </c>
      <c r="J1200" s="12" t="s">
        <v>3864</v>
      </c>
    </row>
    <row r="1201" spans="1:10" ht="26.4" customHeight="1">
      <c r="A1201" s="12" t="s">
        <v>3836</v>
      </c>
      <c r="B1201" s="14" t="str">
        <f t="shared" si="24"/>
        <v>지도</v>
      </c>
      <c r="C1201" s="12" t="s">
        <v>59</v>
      </c>
      <c r="D1201" s="12" t="s">
        <v>3837</v>
      </c>
      <c r="E1201" s="12" t="s">
        <v>929</v>
      </c>
      <c r="F1201" s="16">
        <v>5000</v>
      </c>
      <c r="G1201" s="12">
        <v>420</v>
      </c>
      <c r="H1201" s="16">
        <v>2000</v>
      </c>
      <c r="I1201" s="12" t="s">
        <v>210</v>
      </c>
      <c r="J1201" s="12"/>
    </row>
    <row r="1202" spans="1:10" ht="26.4" customHeight="1">
      <c r="A1202" s="12" t="s">
        <v>3838</v>
      </c>
      <c r="B1202" s="14" t="str">
        <f t="shared" si="24"/>
        <v>지도</v>
      </c>
      <c r="C1202" s="12" t="s">
        <v>59</v>
      </c>
      <c r="D1202" s="12" t="s">
        <v>1675</v>
      </c>
      <c r="E1202" s="12" t="s">
        <v>1095</v>
      </c>
      <c r="F1202" s="16">
        <v>4000</v>
      </c>
      <c r="G1202" s="12">
        <v>300</v>
      </c>
      <c r="H1202" s="16">
        <v>5000</v>
      </c>
      <c r="I1202" s="12" t="s">
        <v>210</v>
      </c>
      <c r="J1202" s="12"/>
    </row>
    <row r="1203" spans="1:10" ht="26.4" customHeight="1">
      <c r="A1203" s="12" t="s">
        <v>3839</v>
      </c>
      <c r="B1203" s="14" t="str">
        <f t="shared" si="24"/>
        <v>지도</v>
      </c>
      <c r="C1203" s="12" t="s">
        <v>59</v>
      </c>
      <c r="D1203" s="12" t="s">
        <v>3865</v>
      </c>
      <c r="E1203" s="12" t="s">
        <v>1026</v>
      </c>
      <c r="F1203" s="16">
        <v>4000</v>
      </c>
      <c r="G1203" s="12">
        <v>360</v>
      </c>
      <c r="H1203" s="12" t="s">
        <v>210</v>
      </c>
      <c r="I1203" s="12" t="s">
        <v>210</v>
      </c>
      <c r="J1203" s="12" t="s">
        <v>3866</v>
      </c>
    </row>
    <row r="1204" spans="1:10" ht="26.4" customHeight="1">
      <c r="A1204" s="12" t="s">
        <v>3840</v>
      </c>
      <c r="B1204" s="14" t="str">
        <f t="shared" si="24"/>
        <v>지도</v>
      </c>
      <c r="C1204" s="12" t="s">
        <v>59</v>
      </c>
      <c r="D1204" s="12" t="s">
        <v>3841</v>
      </c>
      <c r="E1204" s="12" t="s">
        <v>1090</v>
      </c>
      <c r="F1204" s="16">
        <v>5000</v>
      </c>
      <c r="G1204" s="12">
        <v>300</v>
      </c>
      <c r="H1204" s="16">
        <v>7500</v>
      </c>
      <c r="I1204" s="12" t="s">
        <v>210</v>
      </c>
      <c r="J1204" s="12"/>
    </row>
    <row r="1205" spans="1:10" ht="26.4" customHeight="1">
      <c r="A1205" s="12" t="s">
        <v>3840</v>
      </c>
      <c r="B1205" s="14" t="str">
        <f t="shared" si="24"/>
        <v>지도</v>
      </c>
      <c r="C1205" s="12" t="s">
        <v>59</v>
      </c>
      <c r="D1205" s="12" t="s">
        <v>3301</v>
      </c>
      <c r="E1205" s="12" t="s">
        <v>1090</v>
      </c>
      <c r="F1205" s="16">
        <v>5000</v>
      </c>
      <c r="G1205" s="12">
        <v>300</v>
      </c>
      <c r="H1205" s="16">
        <v>8500</v>
      </c>
      <c r="I1205" s="12" t="s">
        <v>210</v>
      </c>
      <c r="J1205" s="12"/>
    </row>
    <row r="1206" spans="1:10" ht="26.4" customHeight="1">
      <c r="A1206" s="12" t="s">
        <v>3842</v>
      </c>
      <c r="B1206" s="14" t="str">
        <f t="shared" si="24"/>
        <v>지도</v>
      </c>
      <c r="C1206" s="12" t="s">
        <v>59</v>
      </c>
      <c r="D1206" s="12" t="s">
        <v>66</v>
      </c>
      <c r="E1206" s="12" t="s">
        <v>1373</v>
      </c>
      <c r="F1206" s="16">
        <v>5000</v>
      </c>
      <c r="G1206" s="12">
        <v>400</v>
      </c>
      <c r="H1206" s="12" t="s">
        <v>210</v>
      </c>
      <c r="I1206" s="12">
        <v>0</v>
      </c>
      <c r="J1206" s="12"/>
    </row>
    <row r="1207" spans="1:10" ht="26.4" customHeight="1">
      <c r="A1207" s="12" t="s">
        <v>3843</v>
      </c>
      <c r="B1207" s="14" t="str">
        <f t="shared" si="24"/>
        <v>지도</v>
      </c>
      <c r="C1207" s="12" t="s">
        <v>59</v>
      </c>
      <c r="D1207" s="12" t="s">
        <v>3867</v>
      </c>
      <c r="E1207" s="12" t="s">
        <v>3868</v>
      </c>
      <c r="F1207" s="16">
        <v>4000</v>
      </c>
      <c r="G1207" s="12">
        <v>210</v>
      </c>
      <c r="H1207" s="16">
        <v>5000</v>
      </c>
      <c r="I1207" s="12" t="s">
        <v>210</v>
      </c>
      <c r="J1207" s="12"/>
    </row>
    <row r="1208" spans="1:10" ht="26.4" customHeight="1">
      <c r="A1208" s="12" t="s">
        <v>3844</v>
      </c>
      <c r="B1208" s="14" t="str">
        <f t="shared" si="24"/>
        <v>지도</v>
      </c>
      <c r="C1208" s="12" t="s">
        <v>59</v>
      </c>
      <c r="D1208" s="12" t="s">
        <v>3869</v>
      </c>
      <c r="E1208" s="12" t="s">
        <v>3870</v>
      </c>
      <c r="F1208" s="16">
        <v>3000</v>
      </c>
      <c r="G1208" s="12">
        <v>190</v>
      </c>
      <c r="H1208" s="16">
        <v>3800</v>
      </c>
      <c r="I1208" s="12" t="s">
        <v>210</v>
      </c>
      <c r="J1208" s="12"/>
    </row>
    <row r="1209" spans="1:10" ht="26.4" customHeight="1">
      <c r="A1209" s="12" t="s">
        <v>3844</v>
      </c>
      <c r="B1209" s="14" t="str">
        <f t="shared" si="24"/>
        <v>지도</v>
      </c>
      <c r="C1209" s="12" t="s">
        <v>59</v>
      </c>
      <c r="D1209" s="12" t="s">
        <v>3845</v>
      </c>
      <c r="E1209" s="12" t="s">
        <v>1082</v>
      </c>
      <c r="F1209" s="16">
        <v>2500</v>
      </c>
      <c r="G1209" s="12">
        <v>130</v>
      </c>
      <c r="H1209" s="12" t="s">
        <v>210</v>
      </c>
      <c r="I1209" s="12" t="s">
        <v>210</v>
      </c>
      <c r="J1209" s="12"/>
    </row>
    <row r="1210" spans="1:10" ht="26.4" customHeight="1">
      <c r="A1210" s="12" t="s">
        <v>3844</v>
      </c>
      <c r="B1210" s="14" t="str">
        <f t="shared" si="24"/>
        <v>지도</v>
      </c>
      <c r="C1210" s="12" t="s">
        <v>59</v>
      </c>
      <c r="D1210" s="12" t="s">
        <v>66</v>
      </c>
      <c r="E1210" s="12" t="s">
        <v>3871</v>
      </c>
      <c r="F1210" s="16">
        <v>2000</v>
      </c>
      <c r="G1210" s="12">
        <v>140</v>
      </c>
      <c r="H1210" s="12" t="s">
        <v>210</v>
      </c>
      <c r="I1210" s="12" t="s">
        <v>210</v>
      </c>
      <c r="J1210" s="12" t="s">
        <v>3155</v>
      </c>
    </row>
    <row r="1211" spans="1:10" ht="26.4" customHeight="1">
      <c r="A1211" s="12" t="s">
        <v>3846</v>
      </c>
      <c r="B1211" s="14" t="str">
        <f t="shared" si="24"/>
        <v>지도</v>
      </c>
      <c r="C1211" s="12" t="s">
        <v>59</v>
      </c>
      <c r="D1211" s="12" t="s">
        <v>3847</v>
      </c>
      <c r="E1211" s="12" t="s">
        <v>1090</v>
      </c>
      <c r="F1211" s="16">
        <v>3000</v>
      </c>
      <c r="G1211" s="12">
        <v>190</v>
      </c>
      <c r="H1211" s="16">
        <v>3000</v>
      </c>
      <c r="I1211" s="12" t="s">
        <v>210</v>
      </c>
      <c r="J1211" s="12"/>
    </row>
    <row r="1212" spans="1:10" ht="26.4" customHeight="1">
      <c r="A1212" s="12" t="s">
        <v>3872</v>
      </c>
      <c r="B1212" s="14" t="str">
        <f t="shared" si="24"/>
        <v>지도</v>
      </c>
      <c r="C1212" s="12" t="s">
        <v>59</v>
      </c>
      <c r="D1212" s="12" t="s">
        <v>66</v>
      </c>
      <c r="E1212" s="12" t="s">
        <v>943</v>
      </c>
      <c r="F1212" s="16">
        <v>6000</v>
      </c>
      <c r="G1212" s="12">
        <v>300</v>
      </c>
      <c r="H1212" s="12" t="s">
        <v>210</v>
      </c>
      <c r="I1212" s="12">
        <v>50</v>
      </c>
      <c r="J1212" s="12"/>
    </row>
    <row r="1213" spans="1:10" ht="26.4" customHeight="1">
      <c r="A1213" s="12" t="s">
        <v>3873</v>
      </c>
      <c r="B1213" s="14" t="str">
        <f t="shared" si="24"/>
        <v>지도</v>
      </c>
      <c r="C1213" s="12" t="s">
        <v>59</v>
      </c>
      <c r="D1213" s="12" t="s">
        <v>3874</v>
      </c>
      <c r="E1213" s="12" t="s">
        <v>936</v>
      </c>
      <c r="F1213" s="16">
        <v>8000</v>
      </c>
      <c r="G1213" s="12">
        <v>380</v>
      </c>
      <c r="H1213" s="16">
        <v>5000</v>
      </c>
      <c r="I1213" s="12" t="s">
        <v>210</v>
      </c>
      <c r="J1213" s="12"/>
    </row>
    <row r="1214" spans="1:10" ht="26.4" customHeight="1">
      <c r="A1214" s="12" t="s">
        <v>3875</v>
      </c>
      <c r="B1214" s="14" t="str">
        <f t="shared" si="24"/>
        <v>지도</v>
      </c>
      <c r="C1214" s="12" t="s">
        <v>59</v>
      </c>
      <c r="D1214" s="12" t="s">
        <v>66</v>
      </c>
      <c r="E1214" s="12" t="s">
        <v>3876</v>
      </c>
      <c r="F1214" s="16">
        <v>3500</v>
      </c>
      <c r="G1214" s="12">
        <v>200</v>
      </c>
      <c r="H1214" s="12" t="s">
        <v>210</v>
      </c>
      <c r="I1214" s="12">
        <v>8</v>
      </c>
      <c r="J1214" s="12"/>
    </row>
    <row r="1215" spans="1:10" ht="26.4" customHeight="1">
      <c r="A1215" s="12" t="s">
        <v>3877</v>
      </c>
      <c r="B1215" s="14" t="str">
        <f t="shared" si="24"/>
        <v>지도</v>
      </c>
      <c r="C1215" s="12" t="s">
        <v>59</v>
      </c>
      <c r="D1215" s="12" t="s">
        <v>66</v>
      </c>
      <c r="E1215" s="12" t="s">
        <v>1183</v>
      </c>
      <c r="F1215" s="16">
        <v>10000</v>
      </c>
      <c r="G1215" s="12">
        <v>800</v>
      </c>
      <c r="H1215" s="12" t="s">
        <v>210</v>
      </c>
      <c r="I1215" s="12">
        <v>30</v>
      </c>
      <c r="J1215" s="12" t="s">
        <v>3878</v>
      </c>
    </row>
    <row r="1216" spans="1:10" ht="26.4" customHeight="1">
      <c r="A1216" s="12" t="s">
        <v>3879</v>
      </c>
      <c r="B1216" s="14" t="str">
        <f t="shared" si="24"/>
        <v>지도</v>
      </c>
      <c r="C1216" s="12" t="s">
        <v>59</v>
      </c>
      <c r="D1216" s="12" t="s">
        <v>3880</v>
      </c>
      <c r="E1216" s="12" t="s">
        <v>1018</v>
      </c>
      <c r="F1216" s="16">
        <v>7000</v>
      </c>
      <c r="G1216" s="12">
        <v>470</v>
      </c>
      <c r="H1216" s="16">
        <v>3000</v>
      </c>
      <c r="I1216" s="12" t="s">
        <v>210</v>
      </c>
      <c r="J1216" s="12"/>
    </row>
    <row r="1217" spans="1:10" ht="26.4" customHeight="1">
      <c r="A1217" s="12" t="s">
        <v>3881</v>
      </c>
      <c r="B1217" s="14" t="str">
        <f t="shared" si="24"/>
        <v>지도</v>
      </c>
      <c r="C1217" s="12" t="s">
        <v>59</v>
      </c>
      <c r="D1217" s="12" t="s">
        <v>66</v>
      </c>
      <c r="E1217" s="12" t="s">
        <v>3882</v>
      </c>
      <c r="F1217" s="16">
        <v>7000</v>
      </c>
      <c r="G1217" s="12">
        <v>600</v>
      </c>
      <c r="H1217" s="12" t="s">
        <v>210</v>
      </c>
      <c r="I1217" s="12">
        <v>50</v>
      </c>
      <c r="J1217" s="12"/>
    </row>
    <row r="1218" spans="1:10" ht="26.4" customHeight="1">
      <c r="A1218" s="12" t="s">
        <v>3883</v>
      </c>
      <c r="B1218" s="14" t="str">
        <f t="shared" si="24"/>
        <v>지도</v>
      </c>
      <c r="C1218" s="12" t="s">
        <v>59</v>
      </c>
      <c r="D1218" s="12" t="s">
        <v>3848</v>
      </c>
      <c r="E1218" s="12" t="s">
        <v>1310</v>
      </c>
      <c r="F1218" s="16">
        <v>55000</v>
      </c>
      <c r="G1218" s="16">
        <v>2000</v>
      </c>
      <c r="H1218" s="12" t="s">
        <v>3884</v>
      </c>
      <c r="I1218" s="12">
        <v>170</v>
      </c>
      <c r="J1218" s="12"/>
    </row>
    <row r="1219" spans="1:10" ht="26.4" customHeight="1">
      <c r="A1219" s="12" t="s">
        <v>3849</v>
      </c>
      <c r="B1219" s="14" t="str">
        <f t="shared" si="24"/>
        <v>지도</v>
      </c>
      <c r="C1219" s="12" t="s">
        <v>59</v>
      </c>
      <c r="D1219" s="12" t="s">
        <v>66</v>
      </c>
      <c r="E1219" s="12" t="s">
        <v>3885</v>
      </c>
      <c r="F1219" s="16">
        <v>40000</v>
      </c>
      <c r="G1219" s="16">
        <v>2000</v>
      </c>
      <c r="H1219" s="12" t="s">
        <v>210</v>
      </c>
      <c r="I1219" s="12" t="s">
        <v>210</v>
      </c>
      <c r="J1219" s="12" t="s">
        <v>2994</v>
      </c>
    </row>
    <row r="1221" spans="1:10" ht="26.4" customHeight="1">
      <c r="A1221" s="13" t="s">
        <v>3886</v>
      </c>
      <c r="B1221" s="34" t="s">
        <v>960</v>
      </c>
      <c r="C1221" s="13" t="s">
        <v>2</v>
      </c>
      <c r="D1221" s="13" t="s">
        <v>1453</v>
      </c>
      <c r="E1221" s="13" t="s">
        <v>3850</v>
      </c>
      <c r="F1221" s="13" t="s">
        <v>919</v>
      </c>
      <c r="G1221" s="13" t="s">
        <v>1551</v>
      </c>
      <c r="H1221" s="13" t="s">
        <v>921</v>
      </c>
      <c r="I1221" s="13" t="s">
        <v>922</v>
      </c>
      <c r="J1221" s="13" t="s">
        <v>8</v>
      </c>
    </row>
    <row r="1222" spans="1:10" ht="26.4" customHeight="1">
      <c r="A1222" s="12" t="s">
        <v>3887</v>
      </c>
      <c r="B1222" s="14" t="str">
        <f t="shared" ref="B1222:B1230" si="25">HYPERLINK("https://map.naver.com/v5/search/" &amp; A1222, "지도")</f>
        <v>지도</v>
      </c>
      <c r="C1222" s="12" t="s">
        <v>59</v>
      </c>
      <c r="D1222" s="12" t="s">
        <v>3508</v>
      </c>
      <c r="E1222" s="12" t="s">
        <v>1185</v>
      </c>
      <c r="F1222" s="12" t="s">
        <v>1893</v>
      </c>
      <c r="G1222" s="12">
        <v>180</v>
      </c>
      <c r="H1222" s="16">
        <v>7000</v>
      </c>
      <c r="I1222" s="12" t="s">
        <v>210</v>
      </c>
      <c r="J1222" s="12"/>
    </row>
    <row r="1223" spans="1:10" ht="26.4" customHeight="1">
      <c r="A1223" s="12" t="s">
        <v>3888</v>
      </c>
      <c r="B1223" s="14" t="str">
        <f t="shared" si="25"/>
        <v>지도</v>
      </c>
      <c r="C1223" s="12" t="s">
        <v>59</v>
      </c>
      <c r="D1223" s="12" t="s">
        <v>3889</v>
      </c>
      <c r="E1223" s="12" t="s">
        <v>936</v>
      </c>
      <c r="F1223" s="16">
        <v>5000</v>
      </c>
      <c r="G1223" s="12">
        <v>330</v>
      </c>
      <c r="H1223" s="16">
        <v>5500</v>
      </c>
      <c r="I1223" s="12" t="s">
        <v>210</v>
      </c>
      <c r="J1223" s="12" t="s">
        <v>3210</v>
      </c>
    </row>
    <row r="1224" spans="1:10" ht="26.4" customHeight="1">
      <c r="A1224" s="12" t="s">
        <v>3890</v>
      </c>
      <c r="B1224" s="14" t="str">
        <f t="shared" si="25"/>
        <v>지도</v>
      </c>
      <c r="C1224" s="12" t="s">
        <v>59</v>
      </c>
      <c r="D1224" s="12" t="s">
        <v>3891</v>
      </c>
      <c r="E1224" s="12" t="s">
        <v>3892</v>
      </c>
      <c r="F1224" s="12" t="s">
        <v>3893</v>
      </c>
      <c r="G1224" s="12">
        <v>750</v>
      </c>
      <c r="H1224" s="12" t="s">
        <v>1893</v>
      </c>
      <c r="I1224" s="12" t="s">
        <v>3894</v>
      </c>
      <c r="J1224" s="12" t="s">
        <v>3895</v>
      </c>
    </row>
    <row r="1225" spans="1:10" ht="26.4" customHeight="1">
      <c r="A1225" s="12" t="s">
        <v>3896</v>
      </c>
      <c r="B1225" s="14" t="str">
        <f t="shared" si="25"/>
        <v>지도</v>
      </c>
      <c r="C1225" s="12" t="s">
        <v>59</v>
      </c>
      <c r="D1225" s="12" t="s">
        <v>3897</v>
      </c>
      <c r="E1225" s="12" t="s">
        <v>3898</v>
      </c>
      <c r="F1225" s="16">
        <v>5000</v>
      </c>
      <c r="G1225" s="12">
        <v>580</v>
      </c>
      <c r="H1225" s="12" t="s">
        <v>3899</v>
      </c>
      <c r="I1225" s="12" t="s">
        <v>210</v>
      </c>
      <c r="J1225" s="12" t="s">
        <v>3900</v>
      </c>
    </row>
    <row r="1226" spans="1:10" ht="26.4" customHeight="1">
      <c r="A1226" s="12" t="s">
        <v>3901</v>
      </c>
      <c r="B1226" s="14" t="str">
        <f t="shared" si="25"/>
        <v>지도</v>
      </c>
      <c r="C1226" s="12" t="s">
        <v>59</v>
      </c>
      <c r="D1226" s="12" t="s">
        <v>3461</v>
      </c>
      <c r="E1226" s="12" t="s">
        <v>1222</v>
      </c>
      <c r="F1226" s="16">
        <v>8000</v>
      </c>
      <c r="G1226" s="12">
        <v>440</v>
      </c>
      <c r="H1226" s="12" t="s">
        <v>3902</v>
      </c>
      <c r="I1226" s="12" t="s">
        <v>210</v>
      </c>
      <c r="J1226" s="12" t="s">
        <v>3903</v>
      </c>
    </row>
    <row r="1227" spans="1:10" ht="26.4" customHeight="1">
      <c r="A1227" s="12" t="s">
        <v>3904</v>
      </c>
      <c r="B1227" s="14" t="str">
        <f t="shared" si="25"/>
        <v>지도</v>
      </c>
      <c r="C1227" s="12" t="s">
        <v>59</v>
      </c>
      <c r="D1227" s="12" t="s">
        <v>3905</v>
      </c>
      <c r="E1227" s="12" t="s">
        <v>943</v>
      </c>
      <c r="F1227" s="16">
        <v>5000</v>
      </c>
      <c r="G1227" s="12">
        <v>300</v>
      </c>
      <c r="H1227" s="12" t="s">
        <v>3906</v>
      </c>
      <c r="I1227" s="12" t="s">
        <v>210</v>
      </c>
      <c r="J1227" s="12"/>
    </row>
    <row r="1228" spans="1:10" ht="26.4" customHeight="1">
      <c r="A1228" s="12" t="s">
        <v>3907</v>
      </c>
      <c r="B1228" s="14" t="str">
        <f t="shared" si="25"/>
        <v>지도</v>
      </c>
      <c r="C1228" s="12" t="s">
        <v>59</v>
      </c>
      <c r="D1228" s="12" t="s">
        <v>3908</v>
      </c>
      <c r="E1228" s="12" t="s">
        <v>3909</v>
      </c>
      <c r="F1228" s="16">
        <v>8000</v>
      </c>
      <c r="G1228" s="12">
        <v>300</v>
      </c>
      <c r="H1228" s="12" t="s">
        <v>1893</v>
      </c>
      <c r="I1228" s="12" t="s">
        <v>210</v>
      </c>
      <c r="J1228" s="12"/>
    </row>
    <row r="1229" spans="1:10" ht="26.4" customHeight="1">
      <c r="A1229" s="12" t="s">
        <v>20</v>
      </c>
      <c r="B1229" s="14" t="str">
        <f t="shared" si="25"/>
        <v>지도</v>
      </c>
      <c r="C1229" s="12" t="s">
        <v>59</v>
      </c>
      <c r="D1229" s="12" t="s">
        <v>66</v>
      </c>
      <c r="E1229" s="12" t="s">
        <v>1185</v>
      </c>
      <c r="F1229" s="16">
        <v>6000</v>
      </c>
      <c r="G1229" s="12">
        <v>420</v>
      </c>
      <c r="H1229" s="16">
        <v>2500</v>
      </c>
      <c r="I1229" s="12" t="s">
        <v>210</v>
      </c>
      <c r="J1229" s="12" t="s">
        <v>3910</v>
      </c>
    </row>
    <row r="1230" spans="1:10" ht="26.4" customHeight="1">
      <c r="A1230" s="12" t="s">
        <v>3911</v>
      </c>
      <c r="B1230" s="14" t="str">
        <f t="shared" si="25"/>
        <v>지도</v>
      </c>
      <c r="C1230" s="12" t="s">
        <v>59</v>
      </c>
      <c r="D1230" s="12" t="s">
        <v>3912</v>
      </c>
      <c r="E1230" s="12" t="s">
        <v>1018</v>
      </c>
      <c r="F1230" s="16">
        <v>7500</v>
      </c>
      <c r="G1230" s="12">
        <v>410</v>
      </c>
      <c r="H1230" s="16">
        <v>1000</v>
      </c>
      <c r="I1230" s="12" t="s">
        <v>210</v>
      </c>
      <c r="J1230" s="12"/>
    </row>
    <row r="1232" spans="1:10" ht="26.4" customHeight="1">
      <c r="A1232" s="13" t="s">
        <v>3886</v>
      </c>
      <c r="B1232" s="34" t="s">
        <v>960</v>
      </c>
      <c r="C1232" s="13" t="s">
        <v>2</v>
      </c>
      <c r="D1232" s="13" t="s">
        <v>1453</v>
      </c>
      <c r="E1232" s="13" t="s">
        <v>3850</v>
      </c>
      <c r="F1232" s="13" t="s">
        <v>919</v>
      </c>
      <c r="G1232" s="13" t="s">
        <v>1551</v>
      </c>
      <c r="H1232" s="13" t="s">
        <v>921</v>
      </c>
      <c r="I1232" s="13" t="s">
        <v>922</v>
      </c>
      <c r="J1232" s="13" t="s">
        <v>8</v>
      </c>
    </row>
    <row r="1233" spans="1:10" ht="26.4" customHeight="1">
      <c r="A1233" s="12" t="s">
        <v>3913</v>
      </c>
      <c r="B1233" s="14" t="str">
        <f t="shared" ref="B1233:B1248" si="26">HYPERLINK("https://map.naver.com/v5/search/" &amp; A1233, "지도")</f>
        <v>지도</v>
      </c>
      <c r="C1233" s="12" t="s">
        <v>59</v>
      </c>
      <c r="D1233" s="12" t="s">
        <v>66</v>
      </c>
      <c r="E1233" s="12" t="s">
        <v>939</v>
      </c>
      <c r="F1233" s="16">
        <v>7000</v>
      </c>
      <c r="G1233" s="12">
        <v>420</v>
      </c>
      <c r="H1233" s="12" t="s">
        <v>210</v>
      </c>
      <c r="I1233" s="12">
        <v>35</v>
      </c>
      <c r="J1233" s="12" t="s">
        <v>3914</v>
      </c>
    </row>
    <row r="1234" spans="1:10" ht="26.4" customHeight="1">
      <c r="A1234" s="12" t="s">
        <v>3915</v>
      </c>
      <c r="B1234" s="14" t="str">
        <f t="shared" si="26"/>
        <v>지도</v>
      </c>
      <c r="C1234" s="12" t="s">
        <v>59</v>
      </c>
      <c r="D1234" s="12" t="s">
        <v>3916</v>
      </c>
      <c r="E1234" s="12" t="s">
        <v>1183</v>
      </c>
      <c r="F1234" s="16">
        <v>8000</v>
      </c>
      <c r="G1234" s="12">
        <v>530</v>
      </c>
      <c r="H1234" s="12" t="s">
        <v>3917</v>
      </c>
      <c r="I1234" s="12" t="s">
        <v>210</v>
      </c>
      <c r="J1234" s="12" t="s">
        <v>3918</v>
      </c>
    </row>
    <row r="1235" spans="1:10" ht="26.4" customHeight="1">
      <c r="A1235" s="12" t="s">
        <v>3919</v>
      </c>
      <c r="B1235" s="14" t="str">
        <f t="shared" si="26"/>
        <v>지도</v>
      </c>
      <c r="C1235" s="12" t="s">
        <v>59</v>
      </c>
      <c r="D1235" s="12" t="s">
        <v>3920</v>
      </c>
      <c r="E1235" s="12" t="s">
        <v>3921</v>
      </c>
      <c r="F1235" s="16">
        <v>5000</v>
      </c>
      <c r="G1235" s="12">
        <v>390</v>
      </c>
      <c r="H1235" s="16">
        <v>8000</v>
      </c>
      <c r="I1235" s="12">
        <v>15</v>
      </c>
      <c r="J1235" s="12" t="s">
        <v>3922</v>
      </c>
    </row>
    <row r="1236" spans="1:10" ht="26.4" customHeight="1">
      <c r="A1236" s="12" t="s">
        <v>3923</v>
      </c>
      <c r="B1236" s="14" t="str">
        <f t="shared" si="26"/>
        <v>지도</v>
      </c>
      <c r="C1236" s="12" t="s">
        <v>59</v>
      </c>
      <c r="D1236" s="12" t="s">
        <v>3924</v>
      </c>
      <c r="E1236" s="12" t="s">
        <v>3925</v>
      </c>
      <c r="F1236" s="16">
        <v>5000</v>
      </c>
      <c r="G1236" s="12">
        <v>370</v>
      </c>
      <c r="H1236" s="16">
        <v>7000</v>
      </c>
      <c r="I1236" s="12" t="s">
        <v>210</v>
      </c>
      <c r="J1236" s="12" t="s">
        <v>3926</v>
      </c>
    </row>
    <row r="1237" spans="1:10" ht="26.4" customHeight="1">
      <c r="A1237" s="12" t="s">
        <v>3927</v>
      </c>
      <c r="B1237" s="14" t="str">
        <f t="shared" si="26"/>
        <v>지도</v>
      </c>
      <c r="C1237" s="12" t="s">
        <v>59</v>
      </c>
      <c r="D1237" s="12" t="s">
        <v>66</v>
      </c>
      <c r="E1237" s="12" t="s">
        <v>1023</v>
      </c>
      <c r="F1237" s="16">
        <v>9000</v>
      </c>
      <c r="G1237" s="12">
        <v>650</v>
      </c>
      <c r="H1237" s="12" t="s">
        <v>210</v>
      </c>
      <c r="I1237" s="12" t="s">
        <v>210</v>
      </c>
      <c r="J1237" s="12" t="s">
        <v>3928</v>
      </c>
    </row>
    <row r="1238" spans="1:10" ht="26.4" customHeight="1">
      <c r="A1238" s="12" t="s">
        <v>3929</v>
      </c>
      <c r="B1238" s="14" t="str">
        <f t="shared" si="26"/>
        <v>지도</v>
      </c>
      <c r="C1238" s="12" t="s">
        <v>59</v>
      </c>
      <c r="D1238" s="12" t="s">
        <v>66</v>
      </c>
      <c r="E1238" s="12" t="s">
        <v>3930</v>
      </c>
      <c r="F1238" s="12" t="s">
        <v>3931</v>
      </c>
      <c r="G1238" s="12">
        <v>600</v>
      </c>
      <c r="H1238" s="12" t="s">
        <v>210</v>
      </c>
      <c r="I1238" s="12">
        <v>60</v>
      </c>
      <c r="J1238" s="12" t="s">
        <v>3932</v>
      </c>
    </row>
    <row r="1239" spans="1:10" ht="32.4" customHeight="1">
      <c r="A1239" s="12" t="s">
        <v>3933</v>
      </c>
      <c r="B1239" s="14" t="str">
        <f t="shared" si="26"/>
        <v>지도</v>
      </c>
      <c r="C1239" s="12" t="s">
        <v>59</v>
      </c>
      <c r="D1239" s="12" t="s">
        <v>3934</v>
      </c>
      <c r="E1239" s="12" t="s">
        <v>3935</v>
      </c>
      <c r="F1239" s="16">
        <v>3000</v>
      </c>
      <c r="G1239" s="12">
        <v>350</v>
      </c>
      <c r="H1239" s="12" t="s">
        <v>3936</v>
      </c>
      <c r="I1239" s="12">
        <v>30</v>
      </c>
      <c r="J1239" s="12" t="s">
        <v>3937</v>
      </c>
    </row>
    <row r="1240" spans="1:10" ht="26.4" customHeight="1">
      <c r="A1240" s="12" t="s">
        <v>3938</v>
      </c>
      <c r="B1240" s="14" t="str">
        <f t="shared" si="26"/>
        <v>지도</v>
      </c>
      <c r="C1240" s="12" t="s">
        <v>59</v>
      </c>
      <c r="D1240" s="12" t="s">
        <v>66</v>
      </c>
      <c r="E1240" s="12" t="s">
        <v>3939</v>
      </c>
      <c r="F1240" s="12" t="s">
        <v>1893</v>
      </c>
      <c r="G1240" s="12">
        <v>400</v>
      </c>
      <c r="H1240" s="12" t="s">
        <v>210</v>
      </c>
      <c r="I1240" s="12">
        <v>40</v>
      </c>
      <c r="J1240" s="12" t="s">
        <v>2591</v>
      </c>
    </row>
    <row r="1241" spans="1:10" ht="26.4" customHeight="1">
      <c r="A1241" s="12" t="s">
        <v>3940</v>
      </c>
      <c r="B1241" s="14" t="str">
        <f t="shared" si="26"/>
        <v>지도</v>
      </c>
      <c r="C1241" s="12" t="s">
        <v>60</v>
      </c>
      <c r="D1241" s="12" t="s">
        <v>66</v>
      </c>
      <c r="E1241" s="12" t="s">
        <v>3939</v>
      </c>
      <c r="F1241" s="16">
        <v>3000</v>
      </c>
      <c r="G1241" s="12">
        <v>160</v>
      </c>
      <c r="H1241" s="12" t="s">
        <v>210</v>
      </c>
      <c r="I1241" s="12" t="s">
        <v>210</v>
      </c>
      <c r="J1241" s="12"/>
    </row>
    <row r="1242" spans="1:10" ht="26.4" customHeight="1">
      <c r="A1242" s="12" t="s">
        <v>3941</v>
      </c>
      <c r="B1242" s="14" t="str">
        <f t="shared" si="26"/>
        <v>지도</v>
      </c>
      <c r="C1242" s="12" t="s">
        <v>59</v>
      </c>
      <c r="D1242" s="12" t="s">
        <v>3942</v>
      </c>
      <c r="E1242" s="12" t="s">
        <v>3943</v>
      </c>
      <c r="F1242" s="16">
        <v>3000</v>
      </c>
      <c r="G1242" s="12">
        <v>180</v>
      </c>
      <c r="H1242" s="12" t="s">
        <v>210</v>
      </c>
      <c r="I1242" s="12" t="s">
        <v>210</v>
      </c>
      <c r="J1242" s="12"/>
    </row>
    <row r="1243" spans="1:10" ht="26.4" customHeight="1">
      <c r="A1243" s="12" t="s">
        <v>3944</v>
      </c>
      <c r="B1243" s="14" t="str">
        <f t="shared" si="26"/>
        <v>지도</v>
      </c>
      <c r="C1243" s="12" t="s">
        <v>59</v>
      </c>
      <c r="D1243" s="12" t="s">
        <v>66</v>
      </c>
      <c r="E1243" s="12" t="s">
        <v>3945</v>
      </c>
      <c r="F1243" s="16">
        <v>5000</v>
      </c>
      <c r="G1243" s="12">
        <v>400</v>
      </c>
      <c r="H1243" s="12" t="s">
        <v>210</v>
      </c>
      <c r="I1243" s="12" t="s">
        <v>210</v>
      </c>
      <c r="J1243" s="12"/>
    </row>
    <row r="1244" spans="1:10" ht="26.4" customHeight="1">
      <c r="A1244" s="12" t="s">
        <v>3946</v>
      </c>
      <c r="B1244" s="14" t="str">
        <f t="shared" si="26"/>
        <v>지도</v>
      </c>
      <c r="C1244" s="12" t="s">
        <v>59</v>
      </c>
      <c r="D1244" s="12" t="s">
        <v>66</v>
      </c>
      <c r="E1244" s="12" t="s">
        <v>3947</v>
      </c>
      <c r="F1244" s="12" t="s">
        <v>3906</v>
      </c>
      <c r="G1244" s="12">
        <v>730</v>
      </c>
      <c r="H1244" s="12" t="s">
        <v>210</v>
      </c>
      <c r="I1244" s="12" t="s">
        <v>210</v>
      </c>
      <c r="J1244" s="12" t="s">
        <v>3948</v>
      </c>
    </row>
    <row r="1245" spans="1:10" ht="26.4" customHeight="1">
      <c r="A1245" s="12" t="s">
        <v>3949</v>
      </c>
      <c r="B1245" s="14" t="str">
        <f t="shared" si="26"/>
        <v>지도</v>
      </c>
      <c r="C1245" s="12" t="s">
        <v>59</v>
      </c>
      <c r="D1245" s="12" t="s">
        <v>66</v>
      </c>
      <c r="E1245" s="12" t="s">
        <v>3950</v>
      </c>
      <c r="F1245" s="12" t="s">
        <v>1893</v>
      </c>
      <c r="G1245" s="12">
        <v>400</v>
      </c>
      <c r="H1245" s="12" t="s">
        <v>210</v>
      </c>
      <c r="I1245" s="12" t="s">
        <v>210</v>
      </c>
      <c r="J1245" s="12" t="s">
        <v>3951</v>
      </c>
    </row>
    <row r="1246" spans="1:10" ht="26.4" customHeight="1">
      <c r="A1246" s="12" t="s">
        <v>23</v>
      </c>
      <c r="B1246" s="14" t="str">
        <f t="shared" si="26"/>
        <v>지도</v>
      </c>
      <c r="C1246" s="12" t="s">
        <v>59</v>
      </c>
      <c r="D1246" s="12" t="s">
        <v>3952</v>
      </c>
      <c r="E1246" s="12" t="s">
        <v>1369</v>
      </c>
      <c r="F1246" s="16">
        <v>6000</v>
      </c>
      <c r="G1246" s="12">
        <v>420</v>
      </c>
      <c r="H1246" s="16">
        <v>6000</v>
      </c>
      <c r="I1246" s="12" t="s">
        <v>210</v>
      </c>
      <c r="J1246" s="12"/>
    </row>
    <row r="1247" spans="1:10" ht="26.4" customHeight="1">
      <c r="A1247" s="12" t="s">
        <v>3953</v>
      </c>
      <c r="B1247" s="14" t="str">
        <f t="shared" si="26"/>
        <v>지도</v>
      </c>
      <c r="C1247" s="12" t="s">
        <v>59</v>
      </c>
      <c r="D1247" s="12" t="s">
        <v>3954</v>
      </c>
      <c r="E1247" s="12" t="s">
        <v>3955</v>
      </c>
      <c r="F1247" s="16">
        <v>4000</v>
      </c>
      <c r="G1247" s="12">
        <v>420</v>
      </c>
      <c r="H1247" s="12" t="s">
        <v>3906</v>
      </c>
      <c r="I1247" s="12">
        <v>81</v>
      </c>
      <c r="J1247" s="12"/>
    </row>
    <row r="1248" spans="1:10" ht="26.4" customHeight="1">
      <c r="A1248" s="12" t="s">
        <v>3956</v>
      </c>
      <c r="B1248" s="14" t="str">
        <f t="shared" si="26"/>
        <v>지도</v>
      </c>
      <c r="C1248" s="12" t="s">
        <v>59</v>
      </c>
      <c r="D1248" s="12" t="s">
        <v>3957</v>
      </c>
      <c r="E1248" s="12" t="s">
        <v>3958</v>
      </c>
      <c r="F1248" s="16">
        <v>1500</v>
      </c>
      <c r="G1248" s="12">
        <v>140</v>
      </c>
      <c r="H1248" s="16">
        <v>2000</v>
      </c>
      <c r="I1248" s="12" t="s">
        <v>210</v>
      </c>
      <c r="J1248" s="12"/>
    </row>
    <row r="1250" spans="1:10" ht="26.4" customHeight="1">
      <c r="A1250" s="13" t="s">
        <v>0</v>
      </c>
      <c r="C1250" s="13" t="s">
        <v>2</v>
      </c>
      <c r="D1250" s="13" t="s">
        <v>1453</v>
      </c>
      <c r="E1250" s="13" t="s">
        <v>3850</v>
      </c>
      <c r="F1250" s="13" t="s">
        <v>919</v>
      </c>
      <c r="G1250" s="13" t="s">
        <v>1551</v>
      </c>
      <c r="H1250" s="13" t="s">
        <v>921</v>
      </c>
      <c r="I1250" s="13" t="s">
        <v>922</v>
      </c>
      <c r="J1250" s="13" t="s">
        <v>8</v>
      </c>
    </row>
    <row r="1251" spans="1:10" ht="26.4" customHeight="1">
      <c r="A1251" s="12" t="s">
        <v>3959</v>
      </c>
      <c r="B1251" s="14" t="str">
        <f t="shared" ref="B1251:B1279" si="27">HYPERLINK("https://map.naver.com/v5/search/" &amp; A1251, "지도")</f>
        <v>지도</v>
      </c>
      <c r="C1251" s="12" t="s">
        <v>59</v>
      </c>
      <c r="D1251" s="12" t="s">
        <v>3960</v>
      </c>
      <c r="E1251" s="12" t="s">
        <v>1202</v>
      </c>
      <c r="F1251" s="12" t="s">
        <v>1893</v>
      </c>
      <c r="G1251" s="12">
        <v>600</v>
      </c>
      <c r="H1251" s="16">
        <v>8000</v>
      </c>
      <c r="I1251" s="12" t="s">
        <v>210</v>
      </c>
      <c r="J1251" s="12"/>
    </row>
    <row r="1252" spans="1:10" ht="26.4" customHeight="1">
      <c r="A1252" s="12" t="s">
        <v>3961</v>
      </c>
      <c r="B1252" s="14" t="str">
        <f t="shared" si="27"/>
        <v>지도</v>
      </c>
      <c r="C1252" s="12" t="s">
        <v>59</v>
      </c>
      <c r="D1252" s="12" t="s">
        <v>66</v>
      </c>
      <c r="E1252" s="12" t="s">
        <v>3947</v>
      </c>
      <c r="F1252" s="12" t="s">
        <v>3906</v>
      </c>
      <c r="G1252" s="12">
        <v>730</v>
      </c>
      <c r="H1252" s="12" t="s">
        <v>210</v>
      </c>
      <c r="I1252" s="12" t="s">
        <v>210</v>
      </c>
      <c r="J1252" s="12"/>
    </row>
    <row r="1253" spans="1:10" ht="26.4" customHeight="1">
      <c r="A1253" s="12" t="s">
        <v>3962</v>
      </c>
      <c r="B1253" s="14" t="str">
        <f t="shared" si="27"/>
        <v>지도</v>
      </c>
      <c r="C1253" s="12" t="s">
        <v>59</v>
      </c>
      <c r="D1253" s="12" t="s">
        <v>66</v>
      </c>
      <c r="E1253" s="12" t="s">
        <v>3950</v>
      </c>
      <c r="F1253" s="12" t="s">
        <v>1893</v>
      </c>
      <c r="G1253" s="12">
        <v>400</v>
      </c>
      <c r="H1253" s="12" t="s">
        <v>210</v>
      </c>
      <c r="I1253" s="12" t="s">
        <v>210</v>
      </c>
      <c r="J1253" s="12" t="s">
        <v>3963</v>
      </c>
    </row>
    <row r="1254" spans="1:10" ht="26.4" customHeight="1">
      <c r="A1254" s="12" t="s">
        <v>3964</v>
      </c>
      <c r="B1254" s="14" t="str">
        <f t="shared" si="27"/>
        <v>지도</v>
      </c>
      <c r="C1254" s="12" t="s">
        <v>59</v>
      </c>
      <c r="D1254" s="12" t="s">
        <v>3965</v>
      </c>
      <c r="E1254" s="12" t="s">
        <v>1018</v>
      </c>
      <c r="F1254" s="16">
        <v>6000</v>
      </c>
      <c r="G1254" s="12">
        <v>310</v>
      </c>
      <c r="H1254" s="16">
        <v>7000</v>
      </c>
      <c r="I1254" s="12" t="s">
        <v>210</v>
      </c>
      <c r="J1254" s="12"/>
    </row>
    <row r="1255" spans="1:10" ht="26.4" customHeight="1">
      <c r="A1255" s="12" t="s">
        <v>3966</v>
      </c>
      <c r="B1255" s="14" t="str">
        <f t="shared" si="27"/>
        <v>지도</v>
      </c>
      <c r="C1255" s="12" t="s">
        <v>59</v>
      </c>
      <c r="D1255" s="12" t="s">
        <v>66</v>
      </c>
      <c r="E1255" s="12" t="s">
        <v>3892</v>
      </c>
      <c r="F1255" s="12" t="s">
        <v>3893</v>
      </c>
      <c r="G1255" s="12">
        <v>740</v>
      </c>
      <c r="H1255" s="12" t="s">
        <v>210</v>
      </c>
      <c r="I1255" s="12" t="s">
        <v>210</v>
      </c>
      <c r="J1255" s="12" t="s">
        <v>3967</v>
      </c>
    </row>
    <row r="1256" spans="1:10" ht="26.4" customHeight="1">
      <c r="A1256" s="12" t="s">
        <v>3968</v>
      </c>
      <c r="B1256" s="14" t="str">
        <f t="shared" si="27"/>
        <v>지도</v>
      </c>
      <c r="C1256" s="12" t="s">
        <v>59</v>
      </c>
      <c r="D1256" s="12" t="s">
        <v>66</v>
      </c>
      <c r="E1256" s="12" t="s">
        <v>3969</v>
      </c>
      <c r="F1256" s="12" t="s">
        <v>1893</v>
      </c>
      <c r="G1256" s="12">
        <v>800</v>
      </c>
      <c r="H1256" s="12" t="s">
        <v>210</v>
      </c>
      <c r="I1256" s="12" t="s">
        <v>210</v>
      </c>
      <c r="J1256" s="12"/>
    </row>
    <row r="1257" spans="1:10" ht="26.4" customHeight="1">
      <c r="A1257" s="12" t="s">
        <v>3970</v>
      </c>
      <c r="B1257" s="14" t="str">
        <f t="shared" si="27"/>
        <v>지도</v>
      </c>
      <c r="C1257" s="12" t="s">
        <v>59</v>
      </c>
      <c r="D1257" s="12" t="s">
        <v>66</v>
      </c>
      <c r="E1257" s="12" t="s">
        <v>3971</v>
      </c>
      <c r="F1257" s="12" t="s">
        <v>1893</v>
      </c>
      <c r="G1257" s="12">
        <v>750</v>
      </c>
      <c r="H1257" s="12" t="s">
        <v>210</v>
      </c>
      <c r="I1257" s="12">
        <v>80</v>
      </c>
      <c r="J1257" s="12"/>
    </row>
    <row r="1258" spans="1:10" ht="26.4" customHeight="1">
      <c r="A1258" s="12" t="s">
        <v>3972</v>
      </c>
      <c r="B1258" s="14" t="str">
        <f t="shared" si="27"/>
        <v>지도</v>
      </c>
      <c r="C1258" s="12" t="s">
        <v>59</v>
      </c>
      <c r="D1258" s="12" t="s">
        <v>3973</v>
      </c>
      <c r="E1258" s="12" t="s">
        <v>3955</v>
      </c>
      <c r="F1258" s="16">
        <v>4000</v>
      </c>
      <c r="G1258" s="12">
        <v>350</v>
      </c>
      <c r="H1258" s="16">
        <v>7000</v>
      </c>
      <c r="I1258" s="12">
        <v>15</v>
      </c>
      <c r="J1258" s="12" t="s">
        <v>3974</v>
      </c>
    </row>
    <row r="1259" spans="1:10" ht="26.4" customHeight="1">
      <c r="A1259" s="12" t="s">
        <v>3975</v>
      </c>
      <c r="B1259" s="14" t="str">
        <f t="shared" si="27"/>
        <v>지도</v>
      </c>
      <c r="C1259" s="12" t="s">
        <v>59</v>
      </c>
      <c r="D1259" s="12" t="s">
        <v>3976</v>
      </c>
      <c r="E1259" s="12" t="s">
        <v>3977</v>
      </c>
      <c r="F1259" s="16">
        <v>4000</v>
      </c>
      <c r="G1259" s="12">
        <v>400</v>
      </c>
      <c r="H1259" s="16">
        <v>8000</v>
      </c>
      <c r="I1259" s="12" t="s">
        <v>210</v>
      </c>
      <c r="J1259" s="12" t="s">
        <v>3978</v>
      </c>
    </row>
    <row r="1260" spans="1:10" ht="26.4" customHeight="1">
      <c r="A1260" s="12" t="s">
        <v>3979</v>
      </c>
      <c r="B1260" s="14" t="str">
        <f t="shared" si="27"/>
        <v>지도</v>
      </c>
      <c r="C1260" s="12" t="s">
        <v>59</v>
      </c>
      <c r="D1260" s="12" t="s">
        <v>3980</v>
      </c>
      <c r="E1260" s="12" t="s">
        <v>1705</v>
      </c>
      <c r="F1260" s="16">
        <v>5000</v>
      </c>
      <c r="G1260" s="12">
        <v>350</v>
      </c>
      <c r="H1260" s="12" t="s">
        <v>1893</v>
      </c>
      <c r="I1260" s="12" t="s">
        <v>210</v>
      </c>
      <c r="J1260" s="12" t="s">
        <v>3981</v>
      </c>
    </row>
    <row r="1261" spans="1:10" ht="26.4" customHeight="1">
      <c r="A1261" s="12" t="s">
        <v>3982</v>
      </c>
      <c r="B1261" s="14" t="str">
        <f t="shared" si="27"/>
        <v>지도</v>
      </c>
      <c r="C1261" s="12" t="s">
        <v>59</v>
      </c>
      <c r="D1261" s="12" t="s">
        <v>66</v>
      </c>
      <c r="E1261" s="12" t="s">
        <v>1705</v>
      </c>
      <c r="F1261" s="12" t="s">
        <v>1893</v>
      </c>
      <c r="G1261" s="12">
        <v>580</v>
      </c>
      <c r="H1261" s="12" t="s">
        <v>210</v>
      </c>
      <c r="I1261" s="12">
        <v>40</v>
      </c>
      <c r="J1261" s="12"/>
    </row>
    <row r="1262" spans="1:10" ht="26.4" customHeight="1">
      <c r="A1262" s="12" t="s">
        <v>3983</v>
      </c>
      <c r="B1262" s="14" t="str">
        <f t="shared" si="27"/>
        <v>지도</v>
      </c>
      <c r="C1262" s="12" t="s">
        <v>59</v>
      </c>
      <c r="D1262" s="12" t="s">
        <v>66</v>
      </c>
      <c r="E1262" s="12" t="s">
        <v>3984</v>
      </c>
      <c r="F1262" s="12" t="s">
        <v>1893</v>
      </c>
      <c r="G1262" s="12">
        <v>400</v>
      </c>
      <c r="H1262" s="12" t="s">
        <v>210</v>
      </c>
      <c r="I1262" s="12" t="s">
        <v>210</v>
      </c>
      <c r="J1262" s="12"/>
    </row>
    <row r="1263" spans="1:10" ht="26.4" customHeight="1">
      <c r="A1263" s="12" t="s">
        <v>3985</v>
      </c>
      <c r="B1263" s="14" t="str">
        <f t="shared" si="27"/>
        <v>지도</v>
      </c>
      <c r="C1263" s="12" t="s">
        <v>59</v>
      </c>
      <c r="D1263" s="12" t="s">
        <v>66</v>
      </c>
      <c r="E1263" s="12" t="s">
        <v>1059</v>
      </c>
      <c r="F1263" s="16">
        <v>8500</v>
      </c>
      <c r="G1263" s="12">
        <v>850</v>
      </c>
      <c r="H1263" s="12" t="s">
        <v>210</v>
      </c>
      <c r="I1263" s="12" t="s">
        <v>210</v>
      </c>
      <c r="J1263" s="12" t="s">
        <v>3986</v>
      </c>
    </row>
    <row r="1264" spans="1:10" ht="26.4" customHeight="1">
      <c r="A1264" s="12" t="s">
        <v>3515</v>
      </c>
      <c r="B1264" s="14" t="str">
        <f t="shared" si="27"/>
        <v>지도</v>
      </c>
      <c r="C1264" s="12" t="s">
        <v>59</v>
      </c>
      <c r="D1264" s="12" t="s">
        <v>3516</v>
      </c>
      <c r="E1264" s="12" t="s">
        <v>3987</v>
      </c>
      <c r="F1264" s="12" t="s">
        <v>1893</v>
      </c>
      <c r="G1264" s="12">
        <v>600</v>
      </c>
      <c r="H1264" s="16">
        <v>5000</v>
      </c>
      <c r="I1264" s="12" t="s">
        <v>210</v>
      </c>
      <c r="J1264" s="12" t="s">
        <v>3988</v>
      </c>
    </row>
    <row r="1265" spans="1:10" ht="26.4" customHeight="1">
      <c r="A1265" s="12" t="s">
        <v>3989</v>
      </c>
      <c r="B1265" s="14" t="str">
        <f t="shared" si="27"/>
        <v>지도</v>
      </c>
      <c r="C1265" s="12" t="s">
        <v>59</v>
      </c>
      <c r="D1265" s="12" t="s">
        <v>66</v>
      </c>
      <c r="E1265" s="12" t="s">
        <v>3990</v>
      </c>
      <c r="F1265" s="16">
        <v>9000</v>
      </c>
      <c r="G1265" s="12">
        <v>500</v>
      </c>
      <c r="H1265" s="12" t="s">
        <v>210</v>
      </c>
      <c r="I1265" s="12" t="s">
        <v>210</v>
      </c>
      <c r="J1265" s="12" t="s">
        <v>3991</v>
      </c>
    </row>
    <row r="1266" spans="1:10" ht="26.4" customHeight="1">
      <c r="A1266" s="12" t="s">
        <v>3992</v>
      </c>
      <c r="B1266" s="14" t="str">
        <f t="shared" si="27"/>
        <v>지도</v>
      </c>
      <c r="C1266" s="12" t="s">
        <v>59</v>
      </c>
      <c r="D1266" s="12" t="s">
        <v>3993</v>
      </c>
      <c r="E1266" s="12" t="s">
        <v>3994</v>
      </c>
      <c r="F1266" s="12" t="s">
        <v>3893</v>
      </c>
      <c r="G1266" s="12">
        <v>600</v>
      </c>
      <c r="H1266" s="12" t="s">
        <v>210</v>
      </c>
      <c r="I1266" s="12" t="s">
        <v>210</v>
      </c>
      <c r="J1266" s="12"/>
    </row>
    <row r="1267" spans="1:10" ht="26.4" customHeight="1">
      <c r="A1267" s="12" t="s">
        <v>3995</v>
      </c>
      <c r="B1267" s="14" t="str">
        <f t="shared" si="27"/>
        <v>지도</v>
      </c>
      <c r="C1267" s="12" t="s">
        <v>3996</v>
      </c>
      <c r="D1267" s="12" t="s">
        <v>66</v>
      </c>
      <c r="E1267" s="12" t="s">
        <v>3997</v>
      </c>
      <c r="F1267" s="16">
        <v>8000</v>
      </c>
      <c r="G1267" s="12">
        <v>580</v>
      </c>
      <c r="H1267" s="12" t="s">
        <v>210</v>
      </c>
      <c r="I1267" s="12" t="s">
        <v>210</v>
      </c>
      <c r="J1267" s="12" t="s">
        <v>3998</v>
      </c>
    </row>
    <row r="1268" spans="1:10" ht="26.4" customHeight="1">
      <c r="A1268" s="12" t="s">
        <v>3999</v>
      </c>
      <c r="B1268" s="14" t="str">
        <f t="shared" si="27"/>
        <v>지도</v>
      </c>
      <c r="C1268" s="12" t="s">
        <v>59</v>
      </c>
      <c r="D1268" s="12" t="s">
        <v>4000</v>
      </c>
      <c r="E1268" s="12" t="s">
        <v>2590</v>
      </c>
      <c r="F1268" s="12" t="s">
        <v>3906</v>
      </c>
      <c r="G1268" s="12">
        <v>800</v>
      </c>
      <c r="H1268" s="16">
        <v>8000</v>
      </c>
      <c r="I1268" s="12" t="s">
        <v>210</v>
      </c>
      <c r="J1268" s="12"/>
    </row>
    <row r="1269" spans="1:10" ht="26.4" customHeight="1">
      <c r="A1269" s="12" t="s">
        <v>4001</v>
      </c>
      <c r="B1269" s="14" t="str">
        <f t="shared" si="27"/>
        <v>지도</v>
      </c>
      <c r="C1269" s="12" t="s">
        <v>60</v>
      </c>
      <c r="D1269" s="12" t="s">
        <v>66</v>
      </c>
      <c r="E1269" s="12" t="s">
        <v>4002</v>
      </c>
      <c r="F1269" s="16">
        <v>6000</v>
      </c>
      <c r="G1269" s="12">
        <v>400</v>
      </c>
      <c r="H1269" s="12" t="s">
        <v>210</v>
      </c>
      <c r="I1269" s="12" t="s">
        <v>210</v>
      </c>
      <c r="J1269" s="12"/>
    </row>
    <row r="1270" spans="1:10" ht="26.4" customHeight="1">
      <c r="A1270" s="12" t="s">
        <v>4003</v>
      </c>
      <c r="B1270" s="14" t="str">
        <f t="shared" si="27"/>
        <v>지도</v>
      </c>
      <c r="C1270" s="12" t="s">
        <v>59</v>
      </c>
      <c r="D1270" s="12" t="s">
        <v>66</v>
      </c>
      <c r="E1270" s="12" t="s">
        <v>4004</v>
      </c>
      <c r="F1270" s="16">
        <v>6000</v>
      </c>
      <c r="G1270" s="12">
        <v>400</v>
      </c>
      <c r="H1270" s="12" t="s">
        <v>210</v>
      </c>
      <c r="I1270" s="12" t="s">
        <v>210</v>
      </c>
      <c r="J1270" s="12"/>
    </row>
    <row r="1271" spans="1:10" ht="26.4" customHeight="1">
      <c r="A1271" s="12" t="s">
        <v>4005</v>
      </c>
      <c r="B1271" s="14" t="str">
        <f t="shared" si="27"/>
        <v>지도</v>
      </c>
      <c r="C1271" s="12" t="s">
        <v>59</v>
      </c>
      <c r="D1271" s="12" t="s">
        <v>66</v>
      </c>
      <c r="E1271" s="12" t="s">
        <v>4006</v>
      </c>
      <c r="F1271" s="16">
        <v>3000</v>
      </c>
      <c r="G1271" s="12">
        <v>230</v>
      </c>
      <c r="H1271" s="12" t="s">
        <v>210</v>
      </c>
      <c r="I1271" s="12" t="s">
        <v>210</v>
      </c>
      <c r="J1271" s="12"/>
    </row>
    <row r="1272" spans="1:10" ht="26.4" customHeight="1">
      <c r="A1272" s="12" t="s">
        <v>4007</v>
      </c>
      <c r="B1272" s="14" t="str">
        <f t="shared" si="27"/>
        <v>지도</v>
      </c>
      <c r="C1272" s="12" t="s">
        <v>59</v>
      </c>
      <c r="D1272" s="12" t="s">
        <v>66</v>
      </c>
      <c r="E1272" s="12" t="s">
        <v>4008</v>
      </c>
      <c r="F1272" s="16">
        <v>9000</v>
      </c>
      <c r="G1272" s="12">
        <v>560</v>
      </c>
      <c r="H1272" s="12" t="s">
        <v>210</v>
      </c>
      <c r="I1272" s="12">
        <v>40</v>
      </c>
      <c r="J1272" s="12" t="s">
        <v>4009</v>
      </c>
    </row>
    <row r="1273" spans="1:10" ht="26.4" customHeight="1">
      <c r="A1273" s="12" t="s">
        <v>4010</v>
      </c>
      <c r="B1273" s="14" t="str">
        <f t="shared" si="27"/>
        <v>지도</v>
      </c>
      <c r="C1273" s="12" t="s">
        <v>59</v>
      </c>
      <c r="D1273" s="12" t="s">
        <v>66</v>
      </c>
      <c r="E1273" s="12" t="s">
        <v>4011</v>
      </c>
      <c r="F1273" s="16">
        <v>3000</v>
      </c>
      <c r="G1273" s="12">
        <v>220</v>
      </c>
      <c r="H1273" s="12" t="s">
        <v>210</v>
      </c>
      <c r="I1273" s="12">
        <v>6</v>
      </c>
      <c r="J1273" s="12"/>
    </row>
    <row r="1274" spans="1:10" ht="26.4" customHeight="1">
      <c r="A1274" s="12" t="s">
        <v>4012</v>
      </c>
      <c r="B1274" s="14" t="str">
        <f t="shared" si="27"/>
        <v>지도</v>
      </c>
      <c r="C1274" s="12" t="s">
        <v>59</v>
      </c>
      <c r="D1274" s="12" t="s">
        <v>4013</v>
      </c>
      <c r="E1274" s="12" t="s">
        <v>3930</v>
      </c>
      <c r="F1274" s="16">
        <v>5000</v>
      </c>
      <c r="G1274" s="12">
        <v>280</v>
      </c>
      <c r="H1274" s="12" t="s">
        <v>210</v>
      </c>
      <c r="I1274" s="12" t="s">
        <v>210</v>
      </c>
      <c r="J1274" s="12"/>
    </row>
    <row r="1275" spans="1:10" ht="26.4" customHeight="1">
      <c r="A1275" s="12" t="s">
        <v>4014</v>
      </c>
      <c r="B1275" s="14" t="str">
        <f t="shared" si="27"/>
        <v>지도</v>
      </c>
      <c r="C1275" s="12" t="s">
        <v>59</v>
      </c>
      <c r="D1275" s="12" t="s">
        <v>66</v>
      </c>
      <c r="E1275" s="12" t="s">
        <v>3950</v>
      </c>
      <c r="F1275" s="16">
        <v>5000</v>
      </c>
      <c r="G1275" s="12">
        <v>300</v>
      </c>
      <c r="H1275" s="12" t="s">
        <v>210</v>
      </c>
      <c r="I1275" s="12" t="s">
        <v>210</v>
      </c>
      <c r="J1275" s="12"/>
    </row>
    <row r="1276" spans="1:10" ht="26.4" customHeight="1">
      <c r="A1276" s="12" t="s">
        <v>4015</v>
      </c>
      <c r="B1276" s="14" t="str">
        <f t="shared" si="27"/>
        <v>지도</v>
      </c>
      <c r="C1276" s="12" t="s">
        <v>59</v>
      </c>
      <c r="D1276" s="12" t="s">
        <v>66</v>
      </c>
      <c r="E1276" s="12" t="s">
        <v>3969</v>
      </c>
      <c r="F1276" s="12" t="s">
        <v>3931</v>
      </c>
      <c r="G1276" s="16">
        <v>1000</v>
      </c>
      <c r="H1276" s="12" t="s">
        <v>210</v>
      </c>
      <c r="I1276" s="12" t="s">
        <v>210</v>
      </c>
      <c r="J1276" s="12" t="s">
        <v>4016</v>
      </c>
    </row>
    <row r="1277" spans="1:10" ht="26.4" customHeight="1">
      <c r="A1277" s="12" t="s">
        <v>4017</v>
      </c>
      <c r="B1277" s="14" t="str">
        <f t="shared" si="27"/>
        <v>지도</v>
      </c>
      <c r="C1277" s="12" t="s">
        <v>2666</v>
      </c>
      <c r="D1277" s="12" t="s">
        <v>66</v>
      </c>
      <c r="E1277" s="12" t="s">
        <v>4018</v>
      </c>
      <c r="F1277" s="12" t="s">
        <v>3931</v>
      </c>
      <c r="G1277" s="16">
        <v>1800</v>
      </c>
      <c r="H1277" s="12" t="s">
        <v>210</v>
      </c>
      <c r="I1277" s="12" t="s">
        <v>210</v>
      </c>
      <c r="J1277" s="12"/>
    </row>
    <row r="1278" spans="1:10" ht="26.4" customHeight="1">
      <c r="A1278" s="12" t="s">
        <v>4019</v>
      </c>
      <c r="B1278" s="14" t="str">
        <f t="shared" si="27"/>
        <v>지도</v>
      </c>
      <c r="C1278" s="12" t="s">
        <v>110</v>
      </c>
      <c r="D1278" s="12" t="s">
        <v>4000</v>
      </c>
      <c r="E1278" s="12" t="s">
        <v>4020</v>
      </c>
      <c r="F1278" s="12" t="s">
        <v>3906</v>
      </c>
      <c r="G1278" s="12">
        <v>990</v>
      </c>
      <c r="H1278" s="12" t="s">
        <v>210</v>
      </c>
      <c r="I1278" s="12">
        <v>90</v>
      </c>
      <c r="J1278" s="12" t="s">
        <v>4021</v>
      </c>
    </row>
    <row r="1279" spans="1:10" ht="26.4" customHeight="1">
      <c r="A1279" s="12" t="s">
        <v>3999</v>
      </c>
      <c r="B1279" s="14" t="str">
        <f t="shared" si="27"/>
        <v>지도</v>
      </c>
      <c r="C1279" s="12" t="s">
        <v>59</v>
      </c>
      <c r="D1279" s="12" t="s">
        <v>4022</v>
      </c>
      <c r="E1279" s="12" t="s">
        <v>2590</v>
      </c>
      <c r="F1279" s="12" t="s">
        <v>3931</v>
      </c>
      <c r="G1279" s="12">
        <v>800</v>
      </c>
      <c r="H1279" s="16">
        <v>1000</v>
      </c>
      <c r="I1279" s="12" t="s">
        <v>210</v>
      </c>
      <c r="J1279" s="12"/>
    </row>
    <row r="1281" spans="1:10" ht="26.4" customHeight="1">
      <c r="A1281" s="13" t="s">
        <v>3886</v>
      </c>
      <c r="C1281" s="13" t="s">
        <v>2</v>
      </c>
      <c r="D1281" s="13" t="s">
        <v>1453</v>
      </c>
      <c r="E1281" s="13" t="s">
        <v>3850</v>
      </c>
      <c r="F1281" s="13" t="s">
        <v>919</v>
      </c>
      <c r="G1281" s="13" t="s">
        <v>1551</v>
      </c>
      <c r="H1281" s="13" t="s">
        <v>922</v>
      </c>
      <c r="I1281" s="13" t="s">
        <v>921</v>
      </c>
      <c r="J1281" s="13" t="s">
        <v>8</v>
      </c>
    </row>
    <row r="1282" spans="1:10" ht="26.4" customHeight="1">
      <c r="A1282" s="12" t="s">
        <v>3477</v>
      </c>
      <c r="B1282" s="14" t="str">
        <f t="shared" ref="B1282:B1340" si="28">HYPERLINK("https://map.naver.com/v5/search/" &amp; A1282, "지도")</f>
        <v>지도</v>
      </c>
      <c r="C1282" s="12" t="s">
        <v>59</v>
      </c>
      <c r="D1282" s="12" t="s">
        <v>66</v>
      </c>
      <c r="E1282" s="12" t="s">
        <v>1026</v>
      </c>
      <c r="F1282" s="16">
        <v>5000</v>
      </c>
      <c r="G1282" s="12">
        <v>300</v>
      </c>
      <c r="H1282" s="12" t="s">
        <v>210</v>
      </c>
      <c r="I1282" s="12" t="s">
        <v>930</v>
      </c>
      <c r="J1282" s="12"/>
    </row>
    <row r="1283" spans="1:10" ht="26.4" customHeight="1">
      <c r="A1283" s="12" t="s">
        <v>4023</v>
      </c>
      <c r="B1283" s="14" t="str">
        <f t="shared" si="28"/>
        <v>지도</v>
      </c>
      <c r="C1283" s="12" t="s">
        <v>59</v>
      </c>
      <c r="D1283" s="12" t="s">
        <v>66</v>
      </c>
      <c r="E1283" s="12" t="s">
        <v>929</v>
      </c>
      <c r="F1283" s="16">
        <v>9500</v>
      </c>
      <c r="G1283" s="12">
        <v>690</v>
      </c>
      <c r="H1283" s="12">
        <v>49.8</v>
      </c>
      <c r="I1283" s="12" t="s">
        <v>930</v>
      </c>
      <c r="J1283" s="12" t="s">
        <v>4024</v>
      </c>
    </row>
    <row r="1284" spans="1:10" ht="26.4" customHeight="1">
      <c r="A1284" s="12" t="s">
        <v>4025</v>
      </c>
      <c r="B1284" s="14" t="str">
        <f t="shared" si="28"/>
        <v>지도</v>
      </c>
      <c r="C1284" s="12" t="s">
        <v>59</v>
      </c>
      <c r="D1284" s="12" t="s">
        <v>66</v>
      </c>
      <c r="E1284" s="12" t="s">
        <v>956</v>
      </c>
      <c r="F1284" s="12" t="s">
        <v>1893</v>
      </c>
      <c r="G1284" s="16">
        <v>1000</v>
      </c>
      <c r="H1284" s="12">
        <v>100</v>
      </c>
      <c r="I1284" s="12" t="s">
        <v>930</v>
      </c>
      <c r="J1284" s="12" t="s">
        <v>4026</v>
      </c>
    </row>
    <row r="1285" spans="1:10" ht="26.4" customHeight="1">
      <c r="A1285" s="12" t="s">
        <v>4027</v>
      </c>
      <c r="B1285" s="14" t="str">
        <f t="shared" si="28"/>
        <v>지도</v>
      </c>
      <c r="C1285" s="12" t="s">
        <v>59</v>
      </c>
      <c r="D1285" s="12" t="s">
        <v>4028</v>
      </c>
      <c r="E1285" s="12" t="s">
        <v>956</v>
      </c>
      <c r="F1285" s="16">
        <v>8000</v>
      </c>
      <c r="G1285" s="12">
        <v>680</v>
      </c>
      <c r="H1285" s="12">
        <v>30</v>
      </c>
      <c r="I1285" s="16">
        <v>5000</v>
      </c>
      <c r="J1285" s="12" t="s">
        <v>4029</v>
      </c>
    </row>
    <row r="1286" spans="1:10" ht="26.4" customHeight="1">
      <c r="A1286" s="12" t="s">
        <v>4030</v>
      </c>
      <c r="B1286" s="14" t="str">
        <f t="shared" si="28"/>
        <v>지도</v>
      </c>
      <c r="C1286" s="12" t="s">
        <v>59</v>
      </c>
      <c r="D1286" s="12" t="s">
        <v>4031</v>
      </c>
      <c r="E1286" s="12" t="s">
        <v>943</v>
      </c>
      <c r="F1286" s="12" t="s">
        <v>1893</v>
      </c>
      <c r="G1286" s="12">
        <v>450</v>
      </c>
      <c r="H1286" s="12">
        <v>10</v>
      </c>
      <c r="I1286" s="16">
        <v>5000</v>
      </c>
      <c r="J1286" s="12" t="s">
        <v>4032</v>
      </c>
    </row>
    <row r="1287" spans="1:10" ht="26.4" customHeight="1">
      <c r="A1287" s="12" t="s">
        <v>4023</v>
      </c>
      <c r="B1287" s="14" t="str">
        <f t="shared" si="28"/>
        <v>지도</v>
      </c>
      <c r="C1287" s="12" t="s">
        <v>59</v>
      </c>
      <c r="D1287" s="12" t="s">
        <v>66</v>
      </c>
      <c r="E1287" s="12" t="s">
        <v>1310</v>
      </c>
      <c r="F1287" s="12" t="s">
        <v>3931</v>
      </c>
      <c r="G1287" s="16">
        <v>2000</v>
      </c>
      <c r="H1287" s="12">
        <v>200</v>
      </c>
      <c r="I1287" s="12" t="s">
        <v>930</v>
      </c>
      <c r="J1287" s="12" t="s">
        <v>4033</v>
      </c>
    </row>
    <row r="1288" spans="1:10" ht="26.4" customHeight="1">
      <c r="A1288" s="12" t="s">
        <v>4034</v>
      </c>
      <c r="B1288" s="14" t="str">
        <f t="shared" si="28"/>
        <v>지도</v>
      </c>
      <c r="C1288" s="12" t="s">
        <v>59</v>
      </c>
      <c r="D1288" s="12" t="s">
        <v>4035</v>
      </c>
      <c r="E1288" s="12" t="s">
        <v>1082</v>
      </c>
      <c r="F1288" s="16">
        <v>5000</v>
      </c>
      <c r="G1288" s="12">
        <v>450</v>
      </c>
      <c r="H1288" s="12">
        <v>45</v>
      </c>
      <c r="I1288" s="16">
        <v>3000</v>
      </c>
      <c r="J1288" s="12" t="s">
        <v>4036</v>
      </c>
    </row>
    <row r="1289" spans="1:10" ht="26.4" customHeight="1">
      <c r="A1289" s="12" t="s">
        <v>4037</v>
      </c>
      <c r="B1289" s="14" t="str">
        <f t="shared" si="28"/>
        <v>지도</v>
      </c>
      <c r="C1289" s="12" t="s">
        <v>59</v>
      </c>
      <c r="D1289" s="12" t="s">
        <v>4038</v>
      </c>
      <c r="E1289" s="12" t="s">
        <v>3892</v>
      </c>
      <c r="F1289" s="16">
        <v>8000</v>
      </c>
      <c r="G1289" s="12">
        <v>600</v>
      </c>
      <c r="H1289" s="12">
        <v>60</v>
      </c>
      <c r="I1289" s="12" t="s">
        <v>3931</v>
      </c>
      <c r="J1289" s="12" t="s">
        <v>4039</v>
      </c>
    </row>
    <row r="1290" spans="1:10" ht="26.4" customHeight="1">
      <c r="A1290" s="12" t="s">
        <v>4040</v>
      </c>
      <c r="B1290" s="14" t="str">
        <f t="shared" si="28"/>
        <v>지도</v>
      </c>
      <c r="C1290" s="12" t="s">
        <v>59</v>
      </c>
      <c r="D1290" s="12" t="s">
        <v>4041</v>
      </c>
      <c r="E1290" s="12" t="s">
        <v>2570</v>
      </c>
      <c r="F1290" s="16">
        <v>4000</v>
      </c>
      <c r="G1290" s="12">
        <v>240</v>
      </c>
      <c r="H1290" s="12">
        <v>30</v>
      </c>
      <c r="I1290" s="16">
        <v>7000</v>
      </c>
      <c r="J1290" s="12" t="s">
        <v>4042</v>
      </c>
    </row>
    <row r="1291" spans="1:10" ht="26.4" customHeight="1">
      <c r="A1291" s="12" t="s">
        <v>4043</v>
      </c>
      <c r="B1291" s="14" t="str">
        <f t="shared" si="28"/>
        <v>지도</v>
      </c>
      <c r="C1291" s="12" t="s">
        <v>59</v>
      </c>
      <c r="D1291" s="12" t="s">
        <v>66</v>
      </c>
      <c r="E1291" s="12" t="s">
        <v>929</v>
      </c>
      <c r="F1291" s="16">
        <v>5000</v>
      </c>
      <c r="G1291" s="12">
        <v>300</v>
      </c>
      <c r="H1291" s="12">
        <v>20</v>
      </c>
      <c r="I1291" s="12" t="s">
        <v>930</v>
      </c>
      <c r="J1291" s="12" t="s">
        <v>4044</v>
      </c>
    </row>
    <row r="1292" spans="1:10" ht="26.4" customHeight="1">
      <c r="A1292" s="12" t="s">
        <v>4045</v>
      </c>
      <c r="B1292" s="14" t="str">
        <f t="shared" si="28"/>
        <v>지도</v>
      </c>
      <c r="C1292" s="12" t="s">
        <v>59</v>
      </c>
      <c r="D1292" s="12" t="s">
        <v>4046</v>
      </c>
      <c r="E1292" s="12" t="s">
        <v>929</v>
      </c>
      <c r="F1292" s="16">
        <v>3000</v>
      </c>
      <c r="G1292" s="12">
        <v>240</v>
      </c>
      <c r="H1292" s="12" t="s">
        <v>210</v>
      </c>
      <c r="I1292" s="16">
        <v>7500</v>
      </c>
      <c r="J1292" s="12" t="s">
        <v>4047</v>
      </c>
    </row>
    <row r="1293" spans="1:10" ht="26.4" customHeight="1">
      <c r="A1293" s="12" t="s">
        <v>4048</v>
      </c>
      <c r="B1293" s="14" t="str">
        <f t="shared" si="28"/>
        <v>지도</v>
      </c>
      <c r="C1293" s="12" t="s">
        <v>59</v>
      </c>
      <c r="D1293" s="12" t="s">
        <v>4049</v>
      </c>
      <c r="E1293" s="12" t="s">
        <v>4050</v>
      </c>
      <c r="F1293" s="16">
        <v>4000</v>
      </c>
      <c r="G1293" s="12">
        <v>300</v>
      </c>
      <c r="H1293" s="12">
        <v>25</v>
      </c>
      <c r="I1293" s="16">
        <v>2000</v>
      </c>
      <c r="J1293" s="12" t="s">
        <v>4051</v>
      </c>
    </row>
    <row r="1294" spans="1:10" ht="26.4" customHeight="1">
      <c r="A1294" s="12" t="s">
        <v>4052</v>
      </c>
      <c r="B1294" s="14" t="str">
        <f t="shared" si="28"/>
        <v>지도</v>
      </c>
      <c r="C1294" s="12" t="s">
        <v>59</v>
      </c>
      <c r="D1294" s="12" t="s">
        <v>4053</v>
      </c>
      <c r="E1294" s="12" t="s">
        <v>1018</v>
      </c>
      <c r="F1294" s="16">
        <v>5000</v>
      </c>
      <c r="G1294" s="12">
        <v>300</v>
      </c>
      <c r="H1294" s="12">
        <v>30</v>
      </c>
      <c r="I1294" s="16">
        <v>6000</v>
      </c>
      <c r="J1294" s="12"/>
    </row>
    <row r="1295" spans="1:10" ht="26.4" customHeight="1">
      <c r="A1295" s="12" t="s">
        <v>4054</v>
      </c>
      <c r="B1295" s="14" t="str">
        <f t="shared" si="28"/>
        <v>지도</v>
      </c>
      <c r="C1295" s="12" t="s">
        <v>59</v>
      </c>
      <c r="D1295" s="12" t="s">
        <v>66</v>
      </c>
      <c r="E1295" s="12" t="s">
        <v>4055</v>
      </c>
      <c r="F1295" s="16">
        <v>3000</v>
      </c>
      <c r="G1295" s="12">
        <v>200</v>
      </c>
      <c r="H1295" s="12" t="s">
        <v>210</v>
      </c>
      <c r="I1295" s="12" t="s">
        <v>930</v>
      </c>
      <c r="J1295" s="12"/>
    </row>
    <row r="1296" spans="1:10" ht="26.4" customHeight="1">
      <c r="A1296" s="12" t="s">
        <v>4056</v>
      </c>
      <c r="B1296" s="14" t="str">
        <f t="shared" si="28"/>
        <v>지도</v>
      </c>
      <c r="C1296" s="12"/>
      <c r="D1296" s="12"/>
      <c r="E1296" s="12" t="s">
        <v>991</v>
      </c>
      <c r="F1296" s="16">
        <v>8000</v>
      </c>
      <c r="G1296" s="12">
        <v>550</v>
      </c>
      <c r="H1296" s="12" t="s">
        <v>210</v>
      </c>
      <c r="I1296" s="12" t="s">
        <v>930</v>
      </c>
      <c r="J1296" s="12" t="s">
        <v>4057</v>
      </c>
    </row>
    <row r="1297" spans="1:10" ht="26.4" customHeight="1">
      <c r="A1297" s="12" t="s">
        <v>4054</v>
      </c>
      <c r="B1297" s="14" t="str">
        <f t="shared" si="28"/>
        <v>지도</v>
      </c>
      <c r="C1297" s="12" t="s">
        <v>59</v>
      </c>
      <c r="D1297" s="12" t="s">
        <v>66</v>
      </c>
      <c r="E1297" s="12" t="s">
        <v>4055</v>
      </c>
      <c r="F1297" s="16">
        <v>3000</v>
      </c>
      <c r="G1297" s="12">
        <v>200</v>
      </c>
      <c r="H1297" s="12" t="s">
        <v>210</v>
      </c>
      <c r="I1297" s="12" t="s">
        <v>930</v>
      </c>
      <c r="J1297" s="12" t="s">
        <v>4058</v>
      </c>
    </row>
    <row r="1298" spans="1:10" ht="26.4" customHeight="1">
      <c r="A1298" s="12" t="s">
        <v>2401</v>
      </c>
      <c r="B1298" s="14" t="str">
        <f t="shared" si="28"/>
        <v>지도</v>
      </c>
      <c r="C1298" s="12" t="s">
        <v>59</v>
      </c>
      <c r="D1298" s="12" t="s">
        <v>2402</v>
      </c>
      <c r="E1298" s="12" t="s">
        <v>929</v>
      </c>
      <c r="F1298" s="16">
        <v>7000</v>
      </c>
      <c r="G1298" s="12">
        <v>410</v>
      </c>
      <c r="H1298" s="12" t="s">
        <v>210</v>
      </c>
      <c r="I1298" s="16">
        <v>7000</v>
      </c>
      <c r="J1298" s="12"/>
    </row>
    <row r="1299" spans="1:10" ht="26.4" customHeight="1">
      <c r="A1299" s="12" t="s">
        <v>4059</v>
      </c>
      <c r="B1299" s="14" t="str">
        <f t="shared" si="28"/>
        <v>지도</v>
      </c>
      <c r="C1299" s="12" t="s">
        <v>59</v>
      </c>
      <c r="D1299" s="12" t="s">
        <v>4060</v>
      </c>
      <c r="E1299" s="12" t="s">
        <v>4061</v>
      </c>
      <c r="F1299" s="12" t="s">
        <v>1893</v>
      </c>
      <c r="G1299" s="12">
        <v>800</v>
      </c>
      <c r="H1299" s="12" t="s">
        <v>210</v>
      </c>
      <c r="I1299" s="12" t="s">
        <v>1893</v>
      </c>
      <c r="J1299" s="12"/>
    </row>
    <row r="1300" spans="1:10" ht="26.4" customHeight="1">
      <c r="A1300" s="12" t="s">
        <v>4062</v>
      </c>
      <c r="B1300" s="14" t="str">
        <f t="shared" si="28"/>
        <v>지도</v>
      </c>
      <c r="C1300" s="12" t="s">
        <v>4063</v>
      </c>
      <c r="D1300" s="12" t="s">
        <v>66</v>
      </c>
      <c r="E1300" s="12" t="s">
        <v>4064</v>
      </c>
      <c r="F1300" s="12" t="s">
        <v>1893</v>
      </c>
      <c r="G1300" s="12">
        <v>800</v>
      </c>
      <c r="H1300" s="12" t="s">
        <v>210</v>
      </c>
      <c r="I1300" s="12" t="s">
        <v>930</v>
      </c>
      <c r="J1300" s="12" t="s">
        <v>4065</v>
      </c>
    </row>
    <row r="1301" spans="1:10" ht="26.4" customHeight="1">
      <c r="A1301" s="12" t="s">
        <v>4066</v>
      </c>
      <c r="B1301" s="14" t="str">
        <f t="shared" si="28"/>
        <v>지도</v>
      </c>
      <c r="C1301" s="12" t="s">
        <v>59</v>
      </c>
      <c r="D1301" s="12" t="s">
        <v>4067</v>
      </c>
      <c r="E1301" s="12" t="s">
        <v>1183</v>
      </c>
      <c r="F1301" s="16">
        <v>8000</v>
      </c>
      <c r="G1301" s="12">
        <v>500</v>
      </c>
      <c r="H1301" s="12">
        <v>30</v>
      </c>
      <c r="I1301" s="12" t="s">
        <v>3893</v>
      </c>
      <c r="J1301" s="12" t="s">
        <v>4068</v>
      </c>
    </row>
    <row r="1302" spans="1:10" ht="26.4" customHeight="1">
      <c r="A1302" s="12" t="s">
        <v>4069</v>
      </c>
      <c r="B1302" s="14" t="str">
        <f t="shared" si="28"/>
        <v>지도</v>
      </c>
      <c r="C1302" s="12" t="s">
        <v>59</v>
      </c>
      <c r="D1302" s="12" t="s">
        <v>66</v>
      </c>
      <c r="E1302" s="12" t="s">
        <v>1059</v>
      </c>
      <c r="F1302" s="16">
        <v>5000</v>
      </c>
      <c r="G1302" s="12">
        <v>300</v>
      </c>
      <c r="H1302" s="12" t="s">
        <v>210</v>
      </c>
      <c r="I1302" s="12" t="s">
        <v>930</v>
      </c>
      <c r="J1302" s="12"/>
    </row>
    <row r="1303" spans="1:10" ht="26.4" customHeight="1">
      <c r="A1303" s="12" t="s">
        <v>4070</v>
      </c>
      <c r="B1303" s="14" t="str">
        <f t="shared" si="28"/>
        <v>지도</v>
      </c>
      <c r="C1303" s="12" t="s">
        <v>4071</v>
      </c>
      <c r="D1303" s="12" t="s">
        <v>4072</v>
      </c>
      <c r="E1303" s="12" t="s">
        <v>4073</v>
      </c>
      <c r="F1303" s="12" t="s">
        <v>4074</v>
      </c>
      <c r="G1303" s="16">
        <v>1500</v>
      </c>
      <c r="H1303" s="12" t="s">
        <v>210</v>
      </c>
      <c r="I1303" s="12" t="s">
        <v>930</v>
      </c>
      <c r="J1303" s="12" t="s">
        <v>4075</v>
      </c>
    </row>
    <row r="1304" spans="1:10" ht="26.4" customHeight="1">
      <c r="A1304" s="12" t="s">
        <v>4076</v>
      </c>
      <c r="B1304" s="14" t="str">
        <f t="shared" si="28"/>
        <v>지도</v>
      </c>
      <c r="C1304" s="12" t="s">
        <v>4071</v>
      </c>
      <c r="D1304" s="12" t="s">
        <v>4077</v>
      </c>
      <c r="E1304" s="12" t="s">
        <v>3987</v>
      </c>
      <c r="F1304" s="12" t="s">
        <v>4078</v>
      </c>
      <c r="G1304" s="12">
        <v>500</v>
      </c>
      <c r="H1304" s="12" t="s">
        <v>210</v>
      </c>
      <c r="I1304" s="16">
        <v>5000</v>
      </c>
      <c r="J1304" s="12" t="s">
        <v>4079</v>
      </c>
    </row>
    <row r="1305" spans="1:10" ht="26.4" customHeight="1">
      <c r="A1305" s="12" t="s">
        <v>4080</v>
      </c>
      <c r="B1305" s="14" t="str">
        <f t="shared" si="28"/>
        <v>지도</v>
      </c>
      <c r="C1305" s="12" t="s">
        <v>59</v>
      </c>
      <c r="D1305" s="12" t="s">
        <v>4081</v>
      </c>
      <c r="E1305" s="12" t="s">
        <v>929</v>
      </c>
      <c r="F1305" s="16">
        <v>6000</v>
      </c>
      <c r="G1305" s="12">
        <v>537</v>
      </c>
      <c r="H1305" s="12" t="s">
        <v>210</v>
      </c>
      <c r="I1305" s="16">
        <v>8000</v>
      </c>
      <c r="J1305" s="12" t="s">
        <v>4082</v>
      </c>
    </row>
    <row r="1306" spans="1:10" ht="26.4" customHeight="1">
      <c r="A1306" s="12" t="s">
        <v>4080</v>
      </c>
      <c r="B1306" s="14" t="str">
        <f t="shared" si="28"/>
        <v>지도</v>
      </c>
      <c r="C1306" s="12" t="s">
        <v>59</v>
      </c>
      <c r="D1306" s="12" t="s">
        <v>4083</v>
      </c>
      <c r="E1306" s="12" t="s">
        <v>1183</v>
      </c>
      <c r="F1306" s="16">
        <v>7000</v>
      </c>
      <c r="G1306" s="12">
        <v>730</v>
      </c>
      <c r="H1306" s="12" t="s">
        <v>210</v>
      </c>
      <c r="I1306" s="12" t="s">
        <v>3931</v>
      </c>
      <c r="J1306" s="12"/>
    </row>
    <row r="1307" spans="1:10" ht="26.4" customHeight="1">
      <c r="A1307" s="12" t="s">
        <v>4084</v>
      </c>
      <c r="B1307" s="14" t="str">
        <f t="shared" si="28"/>
        <v>지도</v>
      </c>
      <c r="C1307" s="12" t="s">
        <v>59</v>
      </c>
      <c r="D1307" s="12" t="s">
        <v>4085</v>
      </c>
      <c r="E1307" s="12" t="s">
        <v>4086</v>
      </c>
      <c r="F1307" s="12" t="s">
        <v>1893</v>
      </c>
      <c r="G1307" s="12">
        <v>760</v>
      </c>
      <c r="H1307" s="12" t="s">
        <v>210</v>
      </c>
      <c r="I1307" s="12" t="s">
        <v>1893</v>
      </c>
      <c r="J1307" s="12" t="s">
        <v>4087</v>
      </c>
    </row>
    <row r="1308" spans="1:10" ht="26.4" customHeight="1">
      <c r="A1308" s="12" t="s">
        <v>4088</v>
      </c>
      <c r="B1308" s="14" t="str">
        <f t="shared" si="28"/>
        <v>지도</v>
      </c>
      <c r="C1308" s="12" t="s">
        <v>59</v>
      </c>
      <c r="D1308" s="12" t="s">
        <v>66</v>
      </c>
      <c r="E1308" s="12" t="s">
        <v>991</v>
      </c>
      <c r="F1308" s="12" t="s">
        <v>4089</v>
      </c>
      <c r="G1308" s="12">
        <v>900</v>
      </c>
      <c r="H1308" s="12" t="s">
        <v>210</v>
      </c>
      <c r="I1308" s="12" t="s">
        <v>930</v>
      </c>
      <c r="J1308" s="12" t="s">
        <v>4090</v>
      </c>
    </row>
    <row r="1309" spans="1:10" ht="26.4" customHeight="1">
      <c r="A1309" s="12" t="s">
        <v>4091</v>
      </c>
      <c r="B1309" s="14" t="str">
        <f t="shared" si="28"/>
        <v>지도</v>
      </c>
      <c r="C1309" s="12" t="s">
        <v>60</v>
      </c>
      <c r="D1309" s="12" t="s">
        <v>4092</v>
      </c>
      <c r="E1309" s="12" t="s">
        <v>1059</v>
      </c>
      <c r="F1309" s="16">
        <v>8000</v>
      </c>
      <c r="G1309" s="12">
        <v>800</v>
      </c>
      <c r="H1309" s="12">
        <v>90</v>
      </c>
      <c r="I1309" s="16">
        <v>8000</v>
      </c>
      <c r="J1309" s="12" t="s">
        <v>4093</v>
      </c>
    </row>
    <row r="1310" spans="1:10" ht="26.4" customHeight="1">
      <c r="A1310" s="12" t="s">
        <v>4094</v>
      </c>
      <c r="B1310" s="14" t="str">
        <f t="shared" si="28"/>
        <v>지도</v>
      </c>
      <c r="C1310" s="12" t="s">
        <v>59</v>
      </c>
      <c r="D1310" s="12" t="s">
        <v>4095</v>
      </c>
      <c r="E1310" s="12" t="s">
        <v>1090</v>
      </c>
      <c r="F1310" s="16">
        <v>2000</v>
      </c>
      <c r="G1310" s="12">
        <v>120</v>
      </c>
      <c r="H1310" s="12" t="s">
        <v>210</v>
      </c>
      <c r="I1310" s="16">
        <v>2000</v>
      </c>
      <c r="J1310" s="12"/>
    </row>
    <row r="1311" spans="1:10" ht="26.4" customHeight="1">
      <c r="A1311" s="12" t="s">
        <v>4096</v>
      </c>
      <c r="B1311" s="14" t="str">
        <f t="shared" si="28"/>
        <v>지도</v>
      </c>
      <c r="C1311" s="12" t="s">
        <v>59</v>
      </c>
      <c r="D1311" s="12" t="s">
        <v>4097</v>
      </c>
      <c r="E1311" s="12" t="s">
        <v>1082</v>
      </c>
      <c r="F1311" s="16">
        <v>3000</v>
      </c>
      <c r="G1311" s="12">
        <v>290</v>
      </c>
      <c r="H1311" s="12" t="s">
        <v>210</v>
      </c>
      <c r="I1311" s="16">
        <v>6000</v>
      </c>
      <c r="J1311" s="12"/>
    </row>
    <row r="1312" spans="1:10" ht="26.4" customHeight="1">
      <c r="A1312" s="12" t="s">
        <v>4098</v>
      </c>
      <c r="B1312" s="14" t="str">
        <f t="shared" si="28"/>
        <v>지도</v>
      </c>
      <c r="C1312" s="12" t="s">
        <v>59</v>
      </c>
      <c r="D1312" s="12" t="s">
        <v>4099</v>
      </c>
      <c r="E1312" s="12" t="s">
        <v>991</v>
      </c>
      <c r="F1312" s="12" t="s">
        <v>1893</v>
      </c>
      <c r="G1312" s="12">
        <v>550</v>
      </c>
      <c r="H1312" s="12" t="s">
        <v>210</v>
      </c>
      <c r="I1312" s="12" t="s">
        <v>930</v>
      </c>
      <c r="J1312" s="12"/>
    </row>
    <row r="1313" spans="1:10" ht="26.4" customHeight="1">
      <c r="A1313" s="12" t="s">
        <v>4100</v>
      </c>
      <c r="B1313" s="14" t="str">
        <f t="shared" si="28"/>
        <v>지도</v>
      </c>
      <c r="C1313" s="12" t="s">
        <v>59</v>
      </c>
      <c r="D1313" s="12" t="s">
        <v>3656</v>
      </c>
      <c r="E1313" s="12" t="s">
        <v>1059</v>
      </c>
      <c r="F1313" s="12" t="s">
        <v>1893</v>
      </c>
      <c r="G1313" s="12">
        <v>600</v>
      </c>
      <c r="H1313" s="12" t="s">
        <v>210</v>
      </c>
      <c r="I1313" s="12" t="s">
        <v>3906</v>
      </c>
      <c r="J1313" s="12"/>
    </row>
    <row r="1314" spans="1:10" ht="26.4" customHeight="1">
      <c r="A1314" s="12" t="s">
        <v>4101</v>
      </c>
      <c r="B1314" s="14" t="str">
        <f t="shared" si="28"/>
        <v>지도</v>
      </c>
      <c r="C1314" s="12" t="s">
        <v>59</v>
      </c>
      <c r="D1314" s="12" t="s">
        <v>4102</v>
      </c>
      <c r="E1314" s="12" t="s">
        <v>943</v>
      </c>
      <c r="F1314" s="16">
        <v>4000</v>
      </c>
      <c r="G1314" s="12">
        <v>320</v>
      </c>
      <c r="H1314" s="12" t="s">
        <v>210</v>
      </c>
      <c r="I1314" s="16">
        <v>4000</v>
      </c>
      <c r="J1314" s="12"/>
    </row>
    <row r="1315" spans="1:10" ht="26.4" customHeight="1">
      <c r="A1315" s="12" t="s">
        <v>4103</v>
      </c>
      <c r="B1315" s="14" t="str">
        <f t="shared" si="28"/>
        <v>지도</v>
      </c>
      <c r="C1315" s="12" t="s">
        <v>59</v>
      </c>
      <c r="D1315" s="12" t="s">
        <v>4104</v>
      </c>
      <c r="E1315" s="12" t="s">
        <v>1026</v>
      </c>
      <c r="F1315" s="16">
        <v>3000</v>
      </c>
      <c r="G1315" s="12">
        <v>250</v>
      </c>
      <c r="H1315" s="12" t="s">
        <v>210</v>
      </c>
      <c r="I1315" s="12" t="s">
        <v>930</v>
      </c>
      <c r="J1315" s="12"/>
    </row>
    <row r="1316" spans="1:10" ht="26.4" customHeight="1">
      <c r="A1316" s="12" t="s">
        <v>4105</v>
      </c>
      <c r="B1316" s="14" t="str">
        <f t="shared" si="28"/>
        <v>지도</v>
      </c>
      <c r="C1316" s="12" t="s">
        <v>59</v>
      </c>
      <c r="D1316" s="12" t="s">
        <v>4106</v>
      </c>
      <c r="E1316" s="12" t="s">
        <v>956</v>
      </c>
      <c r="F1316" s="16">
        <v>4000</v>
      </c>
      <c r="G1316" s="12">
        <v>230</v>
      </c>
      <c r="H1316" s="12" t="s">
        <v>210</v>
      </c>
      <c r="I1316" s="12" t="s">
        <v>930</v>
      </c>
      <c r="J1316" s="12"/>
    </row>
    <row r="1317" spans="1:10" ht="26.4" customHeight="1">
      <c r="A1317" s="12" t="s">
        <v>4107</v>
      </c>
      <c r="B1317" s="14" t="str">
        <f t="shared" si="28"/>
        <v>지도</v>
      </c>
      <c r="C1317" s="12" t="s">
        <v>59</v>
      </c>
      <c r="D1317" s="12" t="s">
        <v>4108</v>
      </c>
      <c r="E1317" s="12" t="s">
        <v>1001</v>
      </c>
      <c r="F1317" s="16">
        <v>5000</v>
      </c>
      <c r="G1317" s="12">
        <v>450</v>
      </c>
      <c r="H1317" s="12" t="s">
        <v>210</v>
      </c>
      <c r="I1317" s="16">
        <v>3000</v>
      </c>
      <c r="J1317" s="12"/>
    </row>
    <row r="1318" spans="1:10" ht="26.4" customHeight="1">
      <c r="A1318" s="12" t="s">
        <v>4109</v>
      </c>
      <c r="B1318" s="14" t="str">
        <f t="shared" si="28"/>
        <v>지도</v>
      </c>
      <c r="C1318" s="12" t="s">
        <v>59</v>
      </c>
      <c r="D1318" s="12" t="s">
        <v>4110</v>
      </c>
      <c r="E1318" s="12" t="s">
        <v>2570</v>
      </c>
      <c r="F1318" s="16">
        <v>5000</v>
      </c>
      <c r="G1318" s="12">
        <v>460</v>
      </c>
      <c r="H1318" s="12" t="s">
        <v>210</v>
      </c>
      <c r="I1318" s="16">
        <v>6000</v>
      </c>
      <c r="J1318" s="12"/>
    </row>
    <row r="1319" spans="1:10" ht="26.4" customHeight="1">
      <c r="A1319" s="12" t="s">
        <v>4111</v>
      </c>
      <c r="B1319" s="14" t="str">
        <f t="shared" si="28"/>
        <v>지도</v>
      </c>
      <c r="C1319" s="12" t="s">
        <v>59</v>
      </c>
      <c r="D1319" s="12" t="s">
        <v>4112</v>
      </c>
      <c r="E1319" s="12" t="s">
        <v>1082</v>
      </c>
      <c r="F1319" s="12" t="s">
        <v>1893</v>
      </c>
      <c r="G1319" s="12">
        <v>250</v>
      </c>
      <c r="H1319" s="12" t="s">
        <v>210</v>
      </c>
      <c r="I1319" s="16">
        <v>7000</v>
      </c>
      <c r="J1319" s="12"/>
    </row>
    <row r="1320" spans="1:10" ht="26.4" customHeight="1">
      <c r="A1320" s="12" t="s">
        <v>4056</v>
      </c>
      <c r="B1320" s="14" t="str">
        <f t="shared" si="28"/>
        <v>지도</v>
      </c>
      <c r="C1320" s="12"/>
      <c r="D1320" s="12"/>
      <c r="E1320" s="12" t="s">
        <v>4113</v>
      </c>
      <c r="F1320" s="12" t="s">
        <v>1893</v>
      </c>
      <c r="G1320" s="12">
        <v>800</v>
      </c>
      <c r="H1320" s="12" t="s">
        <v>210</v>
      </c>
      <c r="I1320" s="12" t="s">
        <v>930</v>
      </c>
      <c r="J1320" s="12" t="s">
        <v>4114</v>
      </c>
    </row>
    <row r="1321" spans="1:10" ht="26.4" customHeight="1">
      <c r="A1321" s="12" t="s">
        <v>4115</v>
      </c>
      <c r="B1321" s="14" t="str">
        <f t="shared" si="28"/>
        <v>지도</v>
      </c>
      <c r="C1321" s="12" t="s">
        <v>59</v>
      </c>
      <c r="D1321" s="12" t="s">
        <v>4116</v>
      </c>
      <c r="E1321" s="12" t="s">
        <v>4117</v>
      </c>
      <c r="F1321" s="16">
        <v>6000</v>
      </c>
      <c r="G1321" s="12">
        <v>450</v>
      </c>
      <c r="H1321" s="12" t="s">
        <v>210</v>
      </c>
      <c r="I1321" s="12" t="s">
        <v>930</v>
      </c>
      <c r="J1321" s="12" t="s">
        <v>4118</v>
      </c>
    </row>
    <row r="1322" spans="1:10" ht="26.4" customHeight="1">
      <c r="A1322" s="12" t="s">
        <v>4119</v>
      </c>
      <c r="B1322" s="14" t="str">
        <f t="shared" si="28"/>
        <v>지도</v>
      </c>
      <c r="C1322" s="12" t="s">
        <v>59</v>
      </c>
      <c r="D1322" s="12" t="s">
        <v>4120</v>
      </c>
      <c r="E1322" s="12" t="s">
        <v>4121</v>
      </c>
      <c r="F1322" s="16">
        <v>6000</v>
      </c>
      <c r="G1322" s="12">
        <v>600</v>
      </c>
      <c r="H1322" s="12" t="s">
        <v>210</v>
      </c>
      <c r="I1322" s="12" t="s">
        <v>930</v>
      </c>
      <c r="J1322" s="12" t="s">
        <v>4122</v>
      </c>
    </row>
    <row r="1323" spans="1:10" ht="26.4" customHeight="1">
      <c r="A1323" s="12" t="s">
        <v>4123</v>
      </c>
      <c r="B1323" s="14" t="str">
        <f t="shared" si="28"/>
        <v>지도</v>
      </c>
      <c r="C1323" s="12"/>
      <c r="D1323" s="12" t="s">
        <v>4124</v>
      </c>
      <c r="E1323" s="12" t="s">
        <v>4125</v>
      </c>
      <c r="F1323" s="16">
        <v>7000</v>
      </c>
      <c r="G1323" s="12">
        <v>600</v>
      </c>
      <c r="H1323" s="12" t="s">
        <v>210</v>
      </c>
      <c r="I1323" s="12" t="s">
        <v>930</v>
      </c>
      <c r="J1323" s="12" t="s">
        <v>4126</v>
      </c>
    </row>
    <row r="1324" spans="1:10" ht="26.4" customHeight="1">
      <c r="A1324" s="12" t="s">
        <v>4127</v>
      </c>
      <c r="B1324" s="14" t="str">
        <f t="shared" si="28"/>
        <v>지도</v>
      </c>
      <c r="C1324" s="12"/>
      <c r="D1324" s="12" t="s">
        <v>4128</v>
      </c>
      <c r="E1324" s="12" t="s">
        <v>3955</v>
      </c>
      <c r="F1324" s="16">
        <v>5000</v>
      </c>
      <c r="G1324" s="12">
        <v>300</v>
      </c>
      <c r="H1324" s="12" t="s">
        <v>210</v>
      </c>
      <c r="I1324" s="16">
        <v>9000</v>
      </c>
      <c r="J1324" s="12"/>
    </row>
    <row r="1325" spans="1:10" ht="26.4" customHeight="1">
      <c r="A1325" s="12" t="s">
        <v>4129</v>
      </c>
      <c r="B1325" s="14" t="str">
        <f t="shared" si="28"/>
        <v>지도</v>
      </c>
      <c r="C1325" s="12" t="s">
        <v>59</v>
      </c>
      <c r="D1325" s="12" t="s">
        <v>4130</v>
      </c>
      <c r="E1325" s="12" t="s">
        <v>3955</v>
      </c>
      <c r="F1325" s="16">
        <v>7000</v>
      </c>
      <c r="G1325" s="12">
        <v>400</v>
      </c>
      <c r="H1325" s="12" t="s">
        <v>210</v>
      </c>
      <c r="I1325" s="16">
        <v>9000</v>
      </c>
      <c r="J1325" s="12"/>
    </row>
    <row r="1326" spans="1:10" ht="26.4" customHeight="1">
      <c r="A1326" s="12" t="s">
        <v>4131</v>
      </c>
      <c r="B1326" s="14" t="str">
        <f t="shared" si="28"/>
        <v>지도</v>
      </c>
      <c r="C1326" s="12" t="s">
        <v>59</v>
      </c>
      <c r="D1326" s="12" t="s">
        <v>4132</v>
      </c>
      <c r="E1326" s="12" t="s">
        <v>4133</v>
      </c>
      <c r="F1326" s="16">
        <v>5000</v>
      </c>
      <c r="G1326" s="12">
        <v>600</v>
      </c>
      <c r="H1326" s="12" t="s">
        <v>210</v>
      </c>
      <c r="I1326" s="12" t="s">
        <v>1893</v>
      </c>
      <c r="J1326" s="12" t="s">
        <v>4134</v>
      </c>
    </row>
    <row r="1327" spans="1:10" ht="26.4" customHeight="1">
      <c r="A1327" s="12" t="s">
        <v>4135</v>
      </c>
      <c r="B1327" s="14" t="str">
        <f t="shared" si="28"/>
        <v>지도</v>
      </c>
      <c r="C1327" s="12" t="s">
        <v>59</v>
      </c>
      <c r="D1327" s="12" t="s">
        <v>2215</v>
      </c>
      <c r="E1327" s="12" t="s">
        <v>1201</v>
      </c>
      <c r="F1327" s="16">
        <v>5000</v>
      </c>
      <c r="G1327" s="12">
        <v>250</v>
      </c>
      <c r="H1327" s="12" t="s">
        <v>210</v>
      </c>
      <c r="I1327" s="16">
        <v>6000</v>
      </c>
      <c r="J1327" s="12"/>
    </row>
    <row r="1328" spans="1:10" ht="26.4" customHeight="1">
      <c r="A1328" s="12" t="s">
        <v>4119</v>
      </c>
      <c r="B1328" s="14" t="str">
        <f t="shared" si="28"/>
        <v>지도</v>
      </c>
      <c r="C1328" s="12" t="s">
        <v>59</v>
      </c>
      <c r="D1328" s="12" t="s">
        <v>4120</v>
      </c>
      <c r="E1328" s="12" t="s">
        <v>4121</v>
      </c>
      <c r="F1328" s="16">
        <v>6000</v>
      </c>
      <c r="G1328" s="12">
        <v>600</v>
      </c>
      <c r="H1328" s="12" t="s">
        <v>210</v>
      </c>
      <c r="I1328" s="12" t="s">
        <v>930</v>
      </c>
      <c r="J1328" s="12" t="s">
        <v>4136</v>
      </c>
    </row>
    <row r="1329" spans="1:10" ht="26.4" customHeight="1">
      <c r="A1329" s="12" t="s">
        <v>4137</v>
      </c>
      <c r="B1329" s="14" t="str">
        <f t="shared" si="28"/>
        <v>지도</v>
      </c>
      <c r="C1329" s="12" t="s">
        <v>59</v>
      </c>
      <c r="D1329" s="12" t="s">
        <v>3274</v>
      </c>
      <c r="E1329" s="12" t="s">
        <v>4138</v>
      </c>
      <c r="F1329" s="16">
        <v>3000</v>
      </c>
      <c r="G1329" s="12">
        <v>300</v>
      </c>
      <c r="H1329" s="12" t="s">
        <v>210</v>
      </c>
      <c r="I1329" s="16">
        <v>5000</v>
      </c>
      <c r="J1329" s="12" t="s">
        <v>4139</v>
      </c>
    </row>
    <row r="1330" spans="1:10" ht="26.4" customHeight="1">
      <c r="A1330" s="12" t="s">
        <v>4140</v>
      </c>
      <c r="B1330" s="14" t="str">
        <f t="shared" si="28"/>
        <v>지도</v>
      </c>
      <c r="C1330" s="12" t="s">
        <v>59</v>
      </c>
      <c r="D1330" s="12"/>
      <c r="E1330" s="12" t="s">
        <v>1373</v>
      </c>
      <c r="F1330" s="16">
        <v>8400</v>
      </c>
      <c r="G1330" s="12">
        <v>630</v>
      </c>
      <c r="H1330" s="12" t="s">
        <v>210</v>
      </c>
      <c r="I1330" s="16">
        <v>1000</v>
      </c>
      <c r="J1330" s="12" t="s">
        <v>4141</v>
      </c>
    </row>
    <row r="1331" spans="1:10" ht="26.4" customHeight="1">
      <c r="A1331" s="12" t="s">
        <v>4142</v>
      </c>
      <c r="B1331" s="14" t="str">
        <f t="shared" si="28"/>
        <v>지도</v>
      </c>
      <c r="C1331" s="12" t="s">
        <v>59</v>
      </c>
      <c r="D1331" s="12" t="s">
        <v>4143</v>
      </c>
      <c r="E1331" s="12" t="s">
        <v>4144</v>
      </c>
      <c r="F1331" s="12" t="s">
        <v>1893</v>
      </c>
      <c r="G1331" s="12">
        <v>600</v>
      </c>
      <c r="H1331" s="12" t="s">
        <v>210</v>
      </c>
      <c r="I1331" s="16">
        <v>2000</v>
      </c>
      <c r="J1331" s="12"/>
    </row>
    <row r="1332" spans="1:10" ht="26.4" customHeight="1">
      <c r="A1332" s="12" t="s">
        <v>4145</v>
      </c>
      <c r="B1332" s="14" t="str">
        <f t="shared" si="28"/>
        <v>지도</v>
      </c>
      <c r="C1332" s="12" t="s">
        <v>4146</v>
      </c>
      <c r="D1332" s="12" t="s">
        <v>66</v>
      </c>
      <c r="E1332" s="12" t="s">
        <v>3955</v>
      </c>
      <c r="F1332" s="12" t="s">
        <v>1893</v>
      </c>
      <c r="G1332" s="12">
        <v>600</v>
      </c>
      <c r="H1332" s="12" t="s">
        <v>210</v>
      </c>
      <c r="I1332" s="12" t="s">
        <v>930</v>
      </c>
      <c r="J1332" s="12" t="s">
        <v>4147</v>
      </c>
    </row>
    <row r="1333" spans="1:10" ht="26.4" customHeight="1">
      <c r="A1333" s="12" t="s">
        <v>4148</v>
      </c>
      <c r="B1333" s="14" t="str">
        <f t="shared" si="28"/>
        <v>지도</v>
      </c>
      <c r="C1333" s="12" t="s">
        <v>59</v>
      </c>
      <c r="D1333" s="12" t="s">
        <v>66</v>
      </c>
      <c r="E1333" s="12" t="s">
        <v>3955</v>
      </c>
      <c r="F1333" s="16">
        <v>5000</v>
      </c>
      <c r="G1333" s="12">
        <v>550</v>
      </c>
      <c r="H1333" s="12" t="s">
        <v>210</v>
      </c>
      <c r="I1333" s="12" t="s">
        <v>930</v>
      </c>
      <c r="J1333" s="12"/>
    </row>
    <row r="1334" spans="1:10" ht="26.4" customHeight="1">
      <c r="A1334" s="12" t="s">
        <v>4149</v>
      </c>
      <c r="B1334" s="14" t="str">
        <f t="shared" si="28"/>
        <v>지도</v>
      </c>
      <c r="C1334" s="12" t="s">
        <v>59</v>
      </c>
      <c r="D1334" s="12" t="s">
        <v>66</v>
      </c>
      <c r="E1334" s="12" t="s">
        <v>991</v>
      </c>
      <c r="F1334" s="16">
        <v>3000</v>
      </c>
      <c r="G1334" s="12">
        <v>270</v>
      </c>
      <c r="H1334" s="12">
        <v>30</v>
      </c>
      <c r="I1334" s="12" t="s">
        <v>930</v>
      </c>
      <c r="J1334" s="12"/>
    </row>
    <row r="1335" spans="1:10" ht="26.4" customHeight="1">
      <c r="A1335" s="12" t="s">
        <v>4149</v>
      </c>
      <c r="B1335" s="14" t="str">
        <f t="shared" si="28"/>
        <v>지도</v>
      </c>
      <c r="C1335" s="12" t="s">
        <v>59</v>
      </c>
      <c r="D1335" s="12" t="s">
        <v>66</v>
      </c>
      <c r="E1335" s="12" t="s">
        <v>3892</v>
      </c>
      <c r="F1335" s="16">
        <v>5000</v>
      </c>
      <c r="G1335" s="12">
        <v>400</v>
      </c>
      <c r="H1335" s="12" t="s">
        <v>210</v>
      </c>
      <c r="I1335" s="12" t="s">
        <v>930</v>
      </c>
      <c r="J1335" s="12" t="s">
        <v>4150</v>
      </c>
    </row>
    <row r="1336" spans="1:10" ht="26.4" customHeight="1">
      <c r="A1336" s="12" t="s">
        <v>4151</v>
      </c>
      <c r="B1336" s="14" t="str">
        <f t="shared" si="28"/>
        <v>지도</v>
      </c>
      <c r="C1336" s="12" t="s">
        <v>59</v>
      </c>
      <c r="D1336" s="12" t="s">
        <v>3757</v>
      </c>
      <c r="E1336" s="12" t="s">
        <v>3955</v>
      </c>
      <c r="F1336" s="16">
        <v>7000</v>
      </c>
      <c r="G1336" s="12">
        <v>700</v>
      </c>
      <c r="H1336" s="12" t="s">
        <v>210</v>
      </c>
      <c r="I1336" s="12" t="s">
        <v>3931</v>
      </c>
      <c r="J1336" s="12" t="s">
        <v>4152</v>
      </c>
    </row>
    <row r="1337" spans="1:10" ht="26.4" customHeight="1">
      <c r="A1337" s="12" t="s">
        <v>4153</v>
      </c>
      <c r="B1337" s="14" t="str">
        <f t="shared" si="28"/>
        <v>지도</v>
      </c>
      <c r="C1337" s="12" t="s">
        <v>59</v>
      </c>
      <c r="D1337" s="12" t="s">
        <v>4154</v>
      </c>
      <c r="E1337" s="12" t="s">
        <v>1183</v>
      </c>
      <c r="F1337" s="16">
        <v>5000</v>
      </c>
      <c r="G1337" s="12">
        <v>250</v>
      </c>
      <c r="H1337" s="12" t="s">
        <v>210</v>
      </c>
      <c r="I1337" s="16">
        <v>2000</v>
      </c>
      <c r="J1337" s="12"/>
    </row>
    <row r="1338" spans="1:10" ht="26.4" customHeight="1">
      <c r="A1338" s="12" t="s">
        <v>4155</v>
      </c>
      <c r="B1338" s="14" t="str">
        <f t="shared" si="28"/>
        <v>지도</v>
      </c>
      <c r="C1338" s="12" t="s">
        <v>2666</v>
      </c>
      <c r="D1338" s="12"/>
      <c r="E1338" s="12" t="s">
        <v>4156</v>
      </c>
      <c r="F1338" s="16">
        <v>5000</v>
      </c>
      <c r="G1338" s="12">
        <v>350</v>
      </c>
      <c r="H1338" s="12" t="s">
        <v>210</v>
      </c>
      <c r="I1338" s="12" t="s">
        <v>930</v>
      </c>
      <c r="J1338" s="12"/>
    </row>
    <row r="1339" spans="1:10" ht="26.4" customHeight="1">
      <c r="A1339" s="12" t="s">
        <v>4157</v>
      </c>
      <c r="B1339" s="14" t="str">
        <f t="shared" si="28"/>
        <v>지도</v>
      </c>
      <c r="C1339" s="12" t="s">
        <v>59</v>
      </c>
      <c r="D1339" s="12" t="s">
        <v>66</v>
      </c>
      <c r="E1339" s="12" t="s">
        <v>3892</v>
      </c>
      <c r="F1339" s="16">
        <v>6000</v>
      </c>
      <c r="G1339" s="12">
        <v>500</v>
      </c>
      <c r="H1339" s="12" t="s">
        <v>210</v>
      </c>
      <c r="I1339" s="12" t="s">
        <v>930</v>
      </c>
      <c r="J1339" s="12"/>
    </row>
    <row r="1340" spans="1:10" ht="26.4" customHeight="1">
      <c r="A1340" s="12" t="s">
        <v>4158</v>
      </c>
      <c r="B1340" s="14" t="str">
        <f t="shared" si="28"/>
        <v>지도</v>
      </c>
      <c r="C1340" s="12" t="s">
        <v>59</v>
      </c>
      <c r="D1340" s="12" t="s">
        <v>66</v>
      </c>
      <c r="E1340" s="12" t="s">
        <v>4159</v>
      </c>
      <c r="F1340" s="16">
        <v>8000</v>
      </c>
      <c r="G1340" s="12">
        <v>600</v>
      </c>
      <c r="H1340" s="12" t="s">
        <v>210</v>
      </c>
      <c r="I1340" s="12" t="s">
        <v>930</v>
      </c>
      <c r="J1340" s="12"/>
    </row>
    <row r="1342" spans="1:10" ht="26.4" customHeight="1">
      <c r="A1342" s="13" t="s">
        <v>4160</v>
      </c>
      <c r="C1342" s="13" t="s">
        <v>2</v>
      </c>
      <c r="D1342" s="13" t="s">
        <v>1453</v>
      </c>
      <c r="E1342" s="13" t="s">
        <v>3850</v>
      </c>
      <c r="F1342" s="13" t="s">
        <v>919</v>
      </c>
      <c r="G1342" s="13" t="s">
        <v>1551</v>
      </c>
      <c r="H1342" s="13" t="s">
        <v>921</v>
      </c>
      <c r="I1342" s="13" t="s">
        <v>922</v>
      </c>
      <c r="J1342" s="13" t="s">
        <v>8</v>
      </c>
    </row>
    <row r="1343" spans="1:10" ht="26.4" customHeight="1">
      <c r="A1343" s="12" t="s">
        <v>4161</v>
      </c>
      <c r="B1343" s="14" t="str">
        <f t="shared" ref="B1343:B1370" si="29">HYPERLINK("https://map.naver.com/v5/search/" &amp; A1343, "지도")</f>
        <v>지도</v>
      </c>
      <c r="C1343" s="12" t="s">
        <v>2386</v>
      </c>
      <c r="D1343" s="12"/>
      <c r="E1343" s="12" t="s">
        <v>4162</v>
      </c>
      <c r="F1343" s="16">
        <v>8000</v>
      </c>
      <c r="G1343" s="12">
        <v>550</v>
      </c>
      <c r="H1343" s="12" t="s">
        <v>930</v>
      </c>
      <c r="I1343" s="12" t="s">
        <v>210</v>
      </c>
      <c r="J1343" s="12"/>
    </row>
    <row r="1344" spans="1:10" ht="26.4" customHeight="1">
      <c r="A1344" s="12" t="s">
        <v>4163</v>
      </c>
      <c r="B1344" s="14" t="str">
        <f t="shared" si="29"/>
        <v>지도</v>
      </c>
      <c r="C1344" s="12" t="s">
        <v>4071</v>
      </c>
      <c r="D1344" s="12" t="s">
        <v>4164</v>
      </c>
      <c r="E1344" s="12" t="s">
        <v>4165</v>
      </c>
      <c r="F1344" s="16">
        <v>5000</v>
      </c>
      <c r="G1344" s="12">
        <v>350</v>
      </c>
      <c r="H1344" s="12" t="s">
        <v>4166</v>
      </c>
      <c r="I1344" s="12" t="s">
        <v>210</v>
      </c>
      <c r="J1344" s="12"/>
    </row>
    <row r="1345" spans="1:10" ht="26.4" customHeight="1">
      <c r="A1345" s="12" t="s">
        <v>4167</v>
      </c>
      <c r="B1345" s="14" t="str">
        <f t="shared" si="29"/>
        <v>지도</v>
      </c>
      <c r="C1345" s="12" t="s">
        <v>59</v>
      </c>
      <c r="D1345" s="12" t="s">
        <v>66</v>
      </c>
      <c r="E1345" s="12" t="s">
        <v>1059</v>
      </c>
      <c r="F1345" s="16">
        <v>2000</v>
      </c>
      <c r="G1345" s="12">
        <v>220</v>
      </c>
      <c r="H1345" s="12" t="s">
        <v>930</v>
      </c>
      <c r="I1345" s="12" t="s">
        <v>210</v>
      </c>
      <c r="J1345" s="12"/>
    </row>
    <row r="1346" spans="1:10" ht="26.4" customHeight="1">
      <c r="A1346" s="12" t="s">
        <v>4168</v>
      </c>
      <c r="B1346" s="14" t="str">
        <f t="shared" si="29"/>
        <v>지도</v>
      </c>
      <c r="C1346" s="12" t="s">
        <v>59</v>
      </c>
      <c r="D1346" s="12" t="s">
        <v>66</v>
      </c>
      <c r="E1346" s="12" t="s">
        <v>1701</v>
      </c>
      <c r="F1346" s="12" t="s">
        <v>1893</v>
      </c>
      <c r="G1346" s="12">
        <v>700</v>
      </c>
      <c r="H1346" s="12" t="s">
        <v>4166</v>
      </c>
      <c r="I1346" s="12">
        <v>58</v>
      </c>
      <c r="J1346" s="12" t="s">
        <v>4169</v>
      </c>
    </row>
    <row r="1347" spans="1:10" ht="26.4" customHeight="1">
      <c r="A1347" s="12" t="s">
        <v>4170</v>
      </c>
      <c r="B1347" s="14" t="str">
        <f t="shared" si="29"/>
        <v>지도</v>
      </c>
      <c r="C1347" s="12" t="s">
        <v>59</v>
      </c>
      <c r="D1347" s="12" t="s">
        <v>1712</v>
      </c>
      <c r="E1347" s="12" t="s">
        <v>1701</v>
      </c>
      <c r="F1347" s="16">
        <v>3500</v>
      </c>
      <c r="G1347" s="12">
        <v>255</v>
      </c>
      <c r="H1347" s="12" t="s">
        <v>4166</v>
      </c>
      <c r="I1347" s="12">
        <v>10</v>
      </c>
      <c r="J1347" s="12"/>
    </row>
    <row r="1348" spans="1:10" ht="26.4" customHeight="1">
      <c r="A1348" s="12" t="s">
        <v>4171</v>
      </c>
      <c r="B1348" s="14" t="str">
        <f t="shared" si="29"/>
        <v>지도</v>
      </c>
      <c r="C1348" s="12" t="s">
        <v>59</v>
      </c>
      <c r="D1348" s="12" t="s">
        <v>4172</v>
      </c>
      <c r="E1348" s="12" t="s">
        <v>4173</v>
      </c>
      <c r="F1348" s="16">
        <v>2000</v>
      </c>
      <c r="G1348" s="12">
        <v>200</v>
      </c>
      <c r="H1348" s="12" t="s">
        <v>4166</v>
      </c>
      <c r="I1348" s="12" t="s">
        <v>210</v>
      </c>
      <c r="J1348" s="12" t="s">
        <v>4174</v>
      </c>
    </row>
    <row r="1349" spans="1:10" ht="26.4" customHeight="1">
      <c r="A1349" s="12" t="s">
        <v>4175</v>
      </c>
      <c r="B1349" s="14" t="str">
        <f t="shared" si="29"/>
        <v>지도</v>
      </c>
      <c r="C1349" s="12" t="s">
        <v>59</v>
      </c>
      <c r="D1349" s="12" t="s">
        <v>4176</v>
      </c>
      <c r="E1349" s="12" t="s">
        <v>1701</v>
      </c>
      <c r="F1349" s="12" t="s">
        <v>1893</v>
      </c>
      <c r="G1349" s="12">
        <v>450</v>
      </c>
      <c r="H1349" s="12" t="s">
        <v>4166</v>
      </c>
      <c r="I1349" s="12" t="s">
        <v>210</v>
      </c>
      <c r="J1349" s="12"/>
    </row>
    <row r="1350" spans="1:10" ht="26.4" customHeight="1">
      <c r="A1350" s="12" t="s">
        <v>4177</v>
      </c>
      <c r="B1350" s="14" t="str">
        <f t="shared" si="29"/>
        <v>지도</v>
      </c>
      <c r="C1350" s="12" t="s">
        <v>59</v>
      </c>
      <c r="D1350" s="12" t="s">
        <v>4178</v>
      </c>
      <c r="E1350" s="12" t="s">
        <v>3892</v>
      </c>
      <c r="F1350" s="16">
        <v>5000</v>
      </c>
      <c r="G1350" s="12">
        <v>350</v>
      </c>
      <c r="H1350" s="12" t="s">
        <v>4166</v>
      </c>
      <c r="I1350" s="12" t="s">
        <v>210</v>
      </c>
      <c r="J1350" s="12"/>
    </row>
    <row r="1351" spans="1:10" ht="26.4" customHeight="1">
      <c r="A1351" s="12" t="s">
        <v>4179</v>
      </c>
      <c r="B1351" s="14" t="str">
        <f t="shared" si="29"/>
        <v>지도</v>
      </c>
      <c r="C1351" s="12" t="s">
        <v>60</v>
      </c>
      <c r="D1351" s="12"/>
      <c r="E1351" s="12" t="s">
        <v>3898</v>
      </c>
      <c r="F1351" s="16">
        <v>3500</v>
      </c>
      <c r="G1351" s="12">
        <v>200</v>
      </c>
      <c r="H1351" s="12" t="s">
        <v>4166</v>
      </c>
      <c r="I1351" s="12">
        <v>50</v>
      </c>
      <c r="J1351" s="12"/>
    </row>
    <row r="1352" spans="1:10" ht="26.4" customHeight="1">
      <c r="A1352" s="12" t="s">
        <v>4180</v>
      </c>
      <c r="B1352" s="14" t="str">
        <f t="shared" si="29"/>
        <v>지도</v>
      </c>
      <c r="C1352" s="12" t="s">
        <v>59</v>
      </c>
      <c r="D1352" s="12" t="s">
        <v>4181</v>
      </c>
      <c r="E1352" s="12" t="s">
        <v>943</v>
      </c>
      <c r="F1352" s="16">
        <v>7000</v>
      </c>
      <c r="G1352" s="12">
        <v>450</v>
      </c>
      <c r="H1352" s="12" t="s">
        <v>4166</v>
      </c>
      <c r="I1352" s="12" t="s">
        <v>210</v>
      </c>
      <c r="J1352" s="12"/>
    </row>
    <row r="1353" spans="1:10" ht="26.4" customHeight="1">
      <c r="A1353" s="12" t="s">
        <v>4182</v>
      </c>
      <c r="B1353" s="14" t="str">
        <f t="shared" si="29"/>
        <v>지도</v>
      </c>
      <c r="C1353" s="12" t="s">
        <v>59</v>
      </c>
      <c r="D1353" s="12" t="s">
        <v>4183</v>
      </c>
      <c r="E1353" s="12" t="s">
        <v>4184</v>
      </c>
      <c r="F1353" s="16">
        <v>3000</v>
      </c>
      <c r="G1353" s="12">
        <v>210</v>
      </c>
      <c r="H1353" s="12" t="s">
        <v>4166</v>
      </c>
      <c r="I1353" s="12" t="s">
        <v>210</v>
      </c>
      <c r="J1353" s="12" t="s">
        <v>4185</v>
      </c>
    </row>
    <row r="1354" spans="1:10" ht="26.4" customHeight="1">
      <c r="A1354" s="12" t="s">
        <v>4186</v>
      </c>
      <c r="B1354" s="14" t="str">
        <f t="shared" si="29"/>
        <v>지도</v>
      </c>
      <c r="C1354" s="12" t="s">
        <v>59</v>
      </c>
      <c r="D1354" s="12" t="s">
        <v>66</v>
      </c>
      <c r="E1354" s="12" t="s">
        <v>4187</v>
      </c>
      <c r="F1354" s="12" t="s">
        <v>1893</v>
      </c>
      <c r="G1354" s="12">
        <v>880</v>
      </c>
      <c r="H1354" s="12" t="s">
        <v>930</v>
      </c>
      <c r="I1354" s="12" t="s">
        <v>210</v>
      </c>
      <c r="J1354" s="12" t="s">
        <v>4188</v>
      </c>
    </row>
    <row r="1355" spans="1:10" ht="26.4" customHeight="1">
      <c r="A1355" s="12" t="s">
        <v>4189</v>
      </c>
      <c r="B1355" s="14" t="str">
        <f t="shared" si="29"/>
        <v>지도</v>
      </c>
      <c r="C1355" s="12" t="s">
        <v>59</v>
      </c>
      <c r="D1355" s="12" t="s">
        <v>4190</v>
      </c>
      <c r="E1355" s="12" t="s">
        <v>1222</v>
      </c>
      <c r="F1355" s="12" t="s">
        <v>3931</v>
      </c>
      <c r="G1355" s="16">
        <v>1400</v>
      </c>
      <c r="H1355" s="12" t="s">
        <v>4166</v>
      </c>
      <c r="I1355" s="12" t="s">
        <v>210</v>
      </c>
      <c r="J1355" s="12"/>
    </row>
    <row r="1356" spans="1:10" ht="26.4" customHeight="1">
      <c r="A1356" s="12" t="s">
        <v>4191</v>
      </c>
      <c r="B1356" s="14" t="str">
        <f t="shared" si="29"/>
        <v>지도</v>
      </c>
      <c r="C1356" s="12" t="s">
        <v>60</v>
      </c>
      <c r="D1356" s="12" t="s">
        <v>4192</v>
      </c>
      <c r="E1356" s="12" t="s">
        <v>1701</v>
      </c>
      <c r="F1356" s="12" t="s">
        <v>1908</v>
      </c>
      <c r="G1356" s="16">
        <v>1200</v>
      </c>
      <c r="H1356" s="12" t="s">
        <v>4166</v>
      </c>
      <c r="I1356" s="12" t="s">
        <v>210</v>
      </c>
      <c r="J1356" s="12" t="s">
        <v>4193</v>
      </c>
    </row>
    <row r="1357" spans="1:10" ht="26.4" customHeight="1">
      <c r="A1357" s="12" t="s">
        <v>4194</v>
      </c>
      <c r="B1357" s="14" t="str">
        <f t="shared" si="29"/>
        <v>지도</v>
      </c>
      <c r="C1357" s="12" t="s">
        <v>60</v>
      </c>
      <c r="D1357" s="12" t="s">
        <v>4195</v>
      </c>
      <c r="E1357" s="12" t="s">
        <v>4196</v>
      </c>
      <c r="F1357" s="16">
        <v>3000</v>
      </c>
      <c r="G1357" s="12">
        <v>360</v>
      </c>
      <c r="H1357" s="12" t="s">
        <v>4166</v>
      </c>
      <c r="I1357" s="12" t="s">
        <v>210</v>
      </c>
      <c r="J1357" s="12"/>
    </row>
    <row r="1358" spans="1:10" ht="26.4" customHeight="1">
      <c r="A1358" s="12" t="s">
        <v>4197</v>
      </c>
      <c r="B1358" s="14" t="str">
        <f t="shared" si="29"/>
        <v>지도</v>
      </c>
      <c r="C1358" s="12" t="s">
        <v>3074</v>
      </c>
      <c r="D1358" s="12" t="s">
        <v>4198</v>
      </c>
      <c r="E1358" s="12" t="s">
        <v>4199</v>
      </c>
      <c r="F1358" s="12" t="s">
        <v>1893</v>
      </c>
      <c r="G1358" s="12">
        <v>450</v>
      </c>
      <c r="H1358" s="12" t="s">
        <v>4166</v>
      </c>
      <c r="I1358" s="12" t="s">
        <v>210</v>
      </c>
      <c r="J1358" s="12"/>
    </row>
    <row r="1359" spans="1:10" ht="26.4" customHeight="1">
      <c r="A1359" s="12" t="s">
        <v>4200</v>
      </c>
      <c r="B1359" s="14" t="str">
        <f t="shared" si="29"/>
        <v>지도</v>
      </c>
      <c r="C1359" s="12" t="s">
        <v>59</v>
      </c>
      <c r="D1359" s="12" t="s">
        <v>2613</v>
      </c>
      <c r="E1359" s="12" t="s">
        <v>3939</v>
      </c>
      <c r="F1359" s="12" t="s">
        <v>3931</v>
      </c>
      <c r="G1359" s="16">
        <v>1200</v>
      </c>
      <c r="H1359" s="12" t="s">
        <v>4166</v>
      </c>
      <c r="I1359" s="12">
        <v>50</v>
      </c>
      <c r="J1359" s="12"/>
    </row>
    <row r="1360" spans="1:10" ht="26.4" customHeight="1">
      <c r="A1360" s="12" t="s">
        <v>4201</v>
      </c>
      <c r="B1360" s="14" t="str">
        <f t="shared" si="29"/>
        <v>지도</v>
      </c>
      <c r="C1360" s="12" t="s">
        <v>59</v>
      </c>
      <c r="D1360" s="12" t="s">
        <v>4202</v>
      </c>
      <c r="E1360" s="12" t="s">
        <v>4184</v>
      </c>
      <c r="F1360" s="16">
        <v>3000</v>
      </c>
      <c r="G1360" s="12">
        <v>270</v>
      </c>
      <c r="H1360" s="12" t="s">
        <v>4166</v>
      </c>
      <c r="I1360" s="12" t="s">
        <v>210</v>
      </c>
      <c r="J1360" s="12"/>
    </row>
    <row r="1361" spans="1:10" ht="26.4" customHeight="1">
      <c r="A1361" s="12" t="s">
        <v>4203</v>
      </c>
      <c r="B1361" s="14" t="str">
        <f t="shared" si="29"/>
        <v>지도</v>
      </c>
      <c r="C1361" s="12" t="s">
        <v>59</v>
      </c>
      <c r="D1361" s="12" t="s">
        <v>4204</v>
      </c>
      <c r="E1361" s="12" t="s">
        <v>3935</v>
      </c>
      <c r="F1361" s="16">
        <v>6000</v>
      </c>
      <c r="G1361" s="12">
        <v>775</v>
      </c>
      <c r="H1361" s="12" t="s">
        <v>4166</v>
      </c>
      <c r="I1361" s="12">
        <v>45</v>
      </c>
      <c r="J1361" s="12"/>
    </row>
    <row r="1362" spans="1:10" ht="26.4" customHeight="1">
      <c r="A1362" s="12" t="s">
        <v>3154</v>
      </c>
      <c r="B1362" s="14" t="str">
        <f t="shared" si="29"/>
        <v>지도</v>
      </c>
      <c r="C1362" s="12" t="s">
        <v>60</v>
      </c>
      <c r="D1362" s="12" t="s">
        <v>66</v>
      </c>
      <c r="E1362" s="12" t="s">
        <v>1222</v>
      </c>
      <c r="F1362" s="12" t="s">
        <v>1908</v>
      </c>
      <c r="G1362" s="12">
        <v>600</v>
      </c>
      <c r="H1362" s="12" t="s">
        <v>930</v>
      </c>
      <c r="I1362" s="12" t="s">
        <v>210</v>
      </c>
      <c r="J1362" s="12"/>
    </row>
    <row r="1363" spans="1:10" ht="26.4" customHeight="1">
      <c r="A1363" s="12" t="s">
        <v>4205</v>
      </c>
      <c r="B1363" s="14" t="str">
        <f t="shared" si="29"/>
        <v>지도</v>
      </c>
      <c r="C1363" s="12" t="s">
        <v>59</v>
      </c>
      <c r="D1363" s="12" t="s">
        <v>4206</v>
      </c>
      <c r="E1363" s="12" t="s">
        <v>3958</v>
      </c>
      <c r="F1363" s="16">
        <v>4000</v>
      </c>
      <c r="G1363" s="12">
        <v>380</v>
      </c>
      <c r="H1363" s="12" t="s">
        <v>4166</v>
      </c>
      <c r="I1363" s="12" t="s">
        <v>3894</v>
      </c>
      <c r="J1363" s="12" t="s">
        <v>4207</v>
      </c>
    </row>
    <row r="1364" spans="1:10" ht="26.4" customHeight="1">
      <c r="A1364" s="12" t="s">
        <v>2714</v>
      </c>
      <c r="B1364" s="14" t="str">
        <f t="shared" si="29"/>
        <v>지도</v>
      </c>
      <c r="C1364" s="12" t="s">
        <v>59</v>
      </c>
      <c r="D1364" s="12" t="s">
        <v>4208</v>
      </c>
      <c r="E1364" s="12" t="s">
        <v>1701</v>
      </c>
      <c r="F1364" s="16">
        <v>5000</v>
      </c>
      <c r="G1364" s="12">
        <v>440</v>
      </c>
      <c r="H1364" s="12" t="s">
        <v>4166</v>
      </c>
      <c r="I1364" s="12" t="s">
        <v>210</v>
      </c>
      <c r="J1364" s="12" t="s">
        <v>4209</v>
      </c>
    </row>
    <row r="1365" spans="1:10" ht="26.4" customHeight="1">
      <c r="A1365" s="12" t="s">
        <v>4210</v>
      </c>
      <c r="B1365" s="14" t="str">
        <f t="shared" si="29"/>
        <v>지도</v>
      </c>
      <c r="C1365" s="12" t="s">
        <v>60</v>
      </c>
      <c r="D1365" s="12" t="s">
        <v>4211</v>
      </c>
      <c r="E1365" s="12" t="s">
        <v>939</v>
      </c>
      <c r="F1365" s="16">
        <v>7000</v>
      </c>
      <c r="G1365" s="12">
        <v>450</v>
      </c>
      <c r="H1365" s="12" t="s">
        <v>4166</v>
      </c>
      <c r="I1365" s="12">
        <v>10</v>
      </c>
      <c r="J1365" s="12"/>
    </row>
    <row r="1366" spans="1:10" ht="26.4" customHeight="1">
      <c r="A1366" s="12" t="s">
        <v>4210</v>
      </c>
      <c r="B1366" s="14" t="str">
        <f t="shared" si="29"/>
        <v>지도</v>
      </c>
      <c r="C1366" s="12" t="s">
        <v>59</v>
      </c>
      <c r="D1366" s="12" t="s">
        <v>2821</v>
      </c>
      <c r="E1366" s="12" t="s">
        <v>4212</v>
      </c>
      <c r="F1366" s="12" t="s">
        <v>1893</v>
      </c>
      <c r="G1366" s="12">
        <v>800</v>
      </c>
      <c r="H1366" s="12" t="s">
        <v>4166</v>
      </c>
      <c r="I1366" s="12" t="s">
        <v>210</v>
      </c>
      <c r="J1366" s="12"/>
    </row>
    <row r="1367" spans="1:10" ht="26.4" customHeight="1">
      <c r="A1367" s="12" t="s">
        <v>4213</v>
      </c>
      <c r="B1367" s="14" t="str">
        <f t="shared" si="29"/>
        <v>지도</v>
      </c>
      <c r="C1367" s="12" t="s">
        <v>4220</v>
      </c>
      <c r="D1367" s="12" t="s">
        <v>66</v>
      </c>
      <c r="E1367" s="12" t="s">
        <v>2570</v>
      </c>
      <c r="F1367" s="12" t="s">
        <v>1893</v>
      </c>
      <c r="G1367" s="12">
        <v>400</v>
      </c>
      <c r="H1367" s="12" t="s">
        <v>930</v>
      </c>
      <c r="I1367" s="12" t="s">
        <v>210</v>
      </c>
      <c r="J1367" s="12" t="s">
        <v>4214</v>
      </c>
    </row>
    <row r="1368" spans="1:10" ht="26.4" customHeight="1">
      <c r="A1368" s="12" t="s">
        <v>4213</v>
      </c>
      <c r="B1368" s="14" t="str">
        <f t="shared" si="29"/>
        <v>지도</v>
      </c>
      <c r="C1368" s="12" t="s">
        <v>4221</v>
      </c>
      <c r="D1368" s="12" t="s">
        <v>66</v>
      </c>
      <c r="E1368" s="12" t="s">
        <v>4215</v>
      </c>
      <c r="F1368" s="12" t="s">
        <v>1893</v>
      </c>
      <c r="G1368" s="12">
        <v>500</v>
      </c>
      <c r="H1368" s="12" t="s">
        <v>930</v>
      </c>
      <c r="I1368" s="12" t="s">
        <v>210</v>
      </c>
      <c r="J1368" s="12" t="s">
        <v>4214</v>
      </c>
    </row>
    <row r="1369" spans="1:10" ht="26.4" customHeight="1">
      <c r="A1369" s="12" t="s">
        <v>4216</v>
      </c>
      <c r="B1369" s="14" t="str">
        <f t="shared" si="29"/>
        <v>지도</v>
      </c>
      <c r="C1369" s="12" t="s">
        <v>59</v>
      </c>
      <c r="D1369" s="12" t="s">
        <v>66</v>
      </c>
      <c r="E1369" s="12" t="s">
        <v>943</v>
      </c>
      <c r="F1369" s="12" t="s">
        <v>3931</v>
      </c>
      <c r="G1369" s="16">
        <v>1600</v>
      </c>
      <c r="H1369" s="12" t="s">
        <v>930</v>
      </c>
      <c r="I1369" s="12">
        <v>28</v>
      </c>
      <c r="J1369" s="12" t="s">
        <v>4217</v>
      </c>
    </row>
    <row r="1370" spans="1:10" ht="26.4" customHeight="1">
      <c r="A1370" s="12" t="s">
        <v>4218</v>
      </c>
      <c r="B1370" s="14" t="str">
        <f t="shared" si="29"/>
        <v>지도</v>
      </c>
      <c r="C1370" s="12" t="s">
        <v>59</v>
      </c>
      <c r="D1370" s="12" t="s">
        <v>2513</v>
      </c>
      <c r="E1370" s="12" t="s">
        <v>1059</v>
      </c>
      <c r="F1370" s="12" t="s">
        <v>4089</v>
      </c>
      <c r="G1370" s="16">
        <v>1000</v>
      </c>
      <c r="H1370" s="12" t="s">
        <v>4166</v>
      </c>
      <c r="I1370" s="12">
        <v>150</v>
      </c>
      <c r="J1370" s="12" t="s">
        <v>4219</v>
      </c>
    </row>
  </sheetData>
  <phoneticPr fontId="3" type="noConversion"/>
  <hyperlinks>
    <hyperlink ref="B2" r:id="rId1" display="https://map.naver.com/v5/search/%EC%95%88%EC%96%91%EC%8B%9C %EB%8F%99%EC%95%88%EA%B5%AC %EB%B9%84%EC%82%B0%EB%8F%99 1059" xr:uid="{63A0014B-2510-49D4-9AF5-6BAD68CF37FE}"/>
    <hyperlink ref="B3" r:id="rId2" display="https://map.naver.com/v5/search/%EC%9A%A9%EC%9D%B8%EC%8B%9C %EC%B2%98%EC%9D%B8%EA%B5%AC %EA%B9%80%EB%9F%89%EC%9E%A5%EB%8F%99 345-3" xr:uid="{C20AF4AD-835E-4833-927A-5299D0FC882B}"/>
    <hyperlink ref="B4" r:id="rId3" display="https://map.naver.com/v5/search/%EC%9A%A9%EC%9D%B8%EC%8B%9C %EC%B2%98%EC%9D%B8%EA%B5%AC %EA%B9%80%EB%9F%89%EC%9E%A5%EB%8F%99 140-24" xr:uid="{20C607DC-F55B-4908-A705-121BCAA1981C}"/>
    <hyperlink ref="B5" r:id="rId4" display="https://map.naver.com/v5/search/%EC%9A%A9%EC%9D%B8%EC%8B%9C %EC%B2%98%EC%9D%B8%EA%B5%AC %EB%82%A8%EB%8F%99 27-2" xr:uid="{F9CB1738-720E-4D1E-A81B-309DB60FF330}"/>
    <hyperlink ref="B6" r:id="rId5" display="https://map.naver.com/v5/search/%EC%9A%A9%EC%9D%B8%EC%8B%9C %EC%B2%98%EC%9D%B8%EA%B5%AC %EA%B9%80%EB%9F%89%EC%9E%A5%EB%8F%99 254-370" xr:uid="{D5D2BFF4-EDC1-4A23-A035-4E5C260D5F18}"/>
    <hyperlink ref="B7" r:id="rId6" display="https://map.naver.com/v5/search/%EC%9A%A9%EC%9D%B8%EC%8B%9C %EC%B2%98%EC%9D%B8%EA%B5%AC %EA%B9%80%EB%9F%89%EC%9E%A5%EB%8F%99 314-7" xr:uid="{82CC9141-A637-4145-B707-8D3709F9A3B2}"/>
    <hyperlink ref="B8" r:id="rId7" display="https://map.naver.com/v5/search/%EA%B2%BD%EA%B8%B0 %EC%8B%9C%ED%9D%A5%EC%8B%9C %EC%9E%A5%ED%98%84%EB%8F%99 545-4" xr:uid="{7E2A1DEB-34A3-46DE-BDDA-F4B46F3FBF7F}"/>
    <hyperlink ref="B9" r:id="rId8" display="https://map.naver.com/v5/search/%EA%B2%BD%EA%B8%B0 %ED%95%98%EB%82%A8%EC%8B%9C %EB%A7%9D%EC%9B%94%EB%8F%99 1119-1" xr:uid="{724C907A-EBB9-4666-8EED-04660E9B0708}"/>
    <hyperlink ref="B10" r:id="rId9" display="https://map.naver.com/v5/search/%EA%B2%BD%EA%B8%B0 %ED%95%98%EB%82%A8%EC%8B%9C %EB%A7%9D%EC%9B%94%EB%8F%99 1121" xr:uid="{3F188D85-95A4-44D3-8A58-298E110D4294}"/>
    <hyperlink ref="B11" r:id="rId10" display="https://map.naver.com/v5/search/%EA%B2%BD%EA%B8%B0 %ED%95%98%EB%82%A8%EC%8B%9C %EB%A7%9D%EC%9B%94%EB%8F%99 1134-2" xr:uid="{F6AF26DB-D602-4F2F-B607-3A5A5F3A3F5A}"/>
    <hyperlink ref="B12" r:id="rId11" display="https://map.naver.com/v5/search/%EA%B2%BD%EA%B8%B0 %ED%95%98%EB%82%A8%EC%8B%9C %EB%A7%9D%EC%9B%94%EB%8F%99 1119-1" xr:uid="{7D74C63E-AD31-49D8-8A87-CFF249D1936E}"/>
    <hyperlink ref="B13" r:id="rId12" display="https://map.naver.com/v5/search/%EA%B2%BD%EA%B8%B0 %EC%8B%9C%ED%9D%A5%EC%8B%9C %EC%9E%A5%ED%98%84%EB%8F%99 544-5" xr:uid="{1119E24C-179E-4501-B9C9-3F725B6A89E7}"/>
    <hyperlink ref="B14" r:id="rId13" display="https://map.naver.com/v5/search/%EA%B2%BD%EA%B8%B0 %EC%8B%9C%ED%9D%A5%EC%8B%9C %EC%9E%A5%EA%B3%A1%EB%8F%99 811-7" xr:uid="{4594D7D6-3B21-46FD-8452-405B859157C3}"/>
    <hyperlink ref="B15" r:id="rId14" display="https://map.naver.com/v5/search/%EC%84%9C%EC%9A%B8 %EC%86%A1%ED%8C%8C%EA%B5%AC %EB%AC%B8%EC%A0%95%EB%8F%99 644-2" xr:uid="{265E19DE-49CC-4EF5-A7D0-121BA1D3A7A1}"/>
    <hyperlink ref="B16" r:id="rId15" display="https://map.naver.com/v5/search/%EC%84%9C%EC%9A%B8 %EC%86%A1%ED%8C%8C%EA%B5%AC %EA%B1%B0%EC%97%AC%EB%8F%99 21-11" xr:uid="{3EE58706-825C-49B8-AF9A-5FC5D04497FB}"/>
    <hyperlink ref="B17" r:id="rId16" display="https://map.naver.com/v5/search/%EA%B2%BD%EA%B8%B0 %EC%8B%9C%ED%9D%A5%EC%8B%9C %EC%9E%A5%ED%98%84%EB%8F%99 530-5" xr:uid="{5569B05B-9D7B-4BFD-B00F-9CF33BC3E128}"/>
    <hyperlink ref="B18" r:id="rId17" display="https://map.naver.com/v5/search/%EC%95%88%EC%96%91%EC%8B%9C %EB%8F%99%EC%95%88%EA%B5%AC %EB%B9%84%EC%82%B0%EB%8F%99 570-4" xr:uid="{9B227F21-EEA8-4206-88A3-884200D48D36}"/>
    <hyperlink ref="B19" r:id="rId18" display="https://map.naver.com/v5/search/%EC%95%88%EC%96%91%EC%8B%9C %EB%A7%8C%EC%95%88%EA%B5%AC %EC%95%88%EC%96%91%EB%8F%99 194-18" xr:uid="{EFAA53B7-2014-4686-969D-869F07F6ED1E}"/>
    <hyperlink ref="B22" r:id="rId19" display="https://map.naver.com/v5/search/%EC%95%88%EC%96%91%EC%8B%9C %EB%8F%99%EC%95%88%EA%B5%AC %EB%B9%84%EC%82%B0%EB%8F%99 1032-13" xr:uid="{69EF109B-FB92-455A-A2CE-5D7353886D55}"/>
    <hyperlink ref="B23" r:id="rId20" display="https://map.naver.com/v5/search/%EC%84%9C%EC%B4%88%EA%B5%AC %EC%84%9C%EC%B4%88%EB%8F%99 1659-18" xr:uid="{867ACBAD-119E-4E18-BF6F-E0A5A2909188}"/>
    <hyperlink ref="B24" r:id="rId21" display="https://map.naver.com/v5/search/%EA%B3%BC%EC%B2%9C%EC%8B%9C %EA%B0%88%ED%98%84%EB%8F%99 319-1 %EA%B3%BC%EC%B2%9C%EC%95%84%EC%9D%B4%ED%94%8C%EB%A0%89%EC%8A%A4" xr:uid="{1410D323-8CE2-4D39-A988-9718130E9DF2}"/>
    <hyperlink ref="B25" r:id="rId22" display="https://map.naver.com/v5/search/%EA%B3%BC%EC%B2%9C%EC%8B%9C %EA%B0%88%ED%98%84%EB%8F%99 427-1" xr:uid="{F24114C9-2847-4CDE-A6E4-F612E0050EF4}"/>
    <hyperlink ref="B26" r:id="rId23" display="https://map.naver.com/v5/search/%EC%95%88%EC%96%91%EC%8B%9C %EB%A7%8C%EC%95%88%EA%B5%AC %EC%95%88%EC%96%91%EB%8F%99 491-5" xr:uid="{2D1A3A7A-87AF-4F72-9226-FD6B55C7B265}"/>
    <hyperlink ref="B27" r:id="rId24" display="https://map.naver.com/v5/search/%EC%86%A1%ED%8C%8C%EA%B5%AC %EA%B1%B0%EC%97%AC%EB%8F%99 21-5" xr:uid="{DB2E8C3E-4DF9-4305-A4ED-1712F8B10173}"/>
    <hyperlink ref="B28" r:id="rId25" display="https://map.naver.com/v5/search/%EA%B5%AC%EB%A1%9C%EA%B5%AC %EA%B5%AC%EB%A1%9C%EB%8F%99 1125-10" xr:uid="{27A8280F-8A18-4483-A3A7-24E832376E53}"/>
    <hyperlink ref="B29" r:id="rId26" display="https://map.naver.com/v5/search/%EA%B5%AC%EB%A1%9C%EA%B5%AC %EA%B5%AC%EB%A1%9C%EB%8F%99 1126-10" xr:uid="{DD9D8E78-917A-4E63-95F1-99E21931BD5F}"/>
    <hyperlink ref="B30" r:id="rId27" display="https://map.naver.com/v5/search/%EA%B5%AC%EB%A1%9C%EA%B5%AC %EA%B5%AC%EB%A1%9C%EB%8F%99 1124-15" xr:uid="{DB7A8B90-48C9-4934-ACD4-0F39E54CE867}"/>
    <hyperlink ref="B31" r:id="rId28" display="https://map.naver.com/v5/search/%EA%B5%AC%EB%A1%9C%EA%B5%AC %EA%B5%AC%EB%A1%9C%EB%8F%99 187-10" xr:uid="{9C67E42D-4D8F-4E24-B664-89D30A5DE0EE}"/>
    <hyperlink ref="B32" r:id="rId29" display="https://map.naver.com/v5/search/%EA%B5%AC%EB%A1%9C%EA%B5%AC %EA%B5%AC%EB%A1%9C%EB%8F%99 187-4 %EC%98%88%EC%84%B1%EC%9C%A0%ED%86%A0%ED%94%BC%EC%95%84" xr:uid="{E4953B4C-0A5E-4012-94F5-7D25B484EC7E}"/>
    <hyperlink ref="B33" r:id="rId30" display="https://map.naver.com/v5/search/%EA%B5%AC%EB%A1%9C%EA%B5%AC %EA%B5%AC%EB%A1%9C%EB%8F%99 1124-95" xr:uid="{7DC92713-5AC0-41D3-9503-8EAE8A674ED9}"/>
    <hyperlink ref="B34" r:id="rId31" display="https://map.naver.com/v5/search/%EA%B5%AC%EB%A1%9C%EA%B5%AC %EA%B5%AC%EB%A1%9C%EB%8F%99 1124-83" xr:uid="{04FA5AA8-C599-401A-9B65-B59F5C9FFCDE}"/>
    <hyperlink ref="B35" r:id="rId32" display="https://map.naver.com/v5/search/%EA%B5%AC%EB%A1%9C%EA%B5%AC %EA%B5%AC%EB%A1%9C%EB%8F%99 1124-57" xr:uid="{0CC139E3-3379-4ECC-90E2-B717746FD537}"/>
    <hyperlink ref="B36" r:id="rId33" display="https://map.naver.com/v5/search/%EA%B5%AC%EB%A1%9C%EA%B5%AC %EA%B5%AC%EB%A1%9C%EB%8F%99 1129-1" xr:uid="{00E95191-214B-4E19-AA4C-E2C5A3B4B39A}"/>
    <hyperlink ref="B37" r:id="rId34" display="https://map.naver.com/v5/search/%EC%98%81%EB%93%B1%ED%8F%AC%EA%B5%AC %EC%98%81%EB%93%B1%ED%8F%AC%EB%8F%993%EA%B0%80 3-14" xr:uid="{0C76C4D1-80A4-468D-969D-5E7095D28832}"/>
    <hyperlink ref="B38" r:id="rId35" display="https://map.naver.com/v5/search/%EC%98%81%EB%93%B1%ED%8F%AC%EA%B5%AC %EC%98%81%EB%93%B1%ED%8F%AC%EB%8F%993%EA%B0%80 13" xr:uid="{9DC7CF00-D288-4262-8914-FB21D5EB2186}"/>
    <hyperlink ref="B39" r:id="rId36" display="https://map.naver.com/v5/search/%EC%98%81%EB%93%B1%ED%8F%AC%EA%B5%AC %EC%98%81%EB%93%B1%ED%8F%AC%EB%8F%993%EA%B0%80 16-2" xr:uid="{3469B849-4445-443D-B357-A6DAA9D34443}"/>
    <hyperlink ref="B40" r:id="rId37" display="https://map.naver.com/v5/search/%EC%98%81%EB%93%B1%ED%8F%AC%EA%B5%AC %EC%98%81%EB%93%B1%ED%8F%AC%EB%8F%993%EA%B0%80 14-2" xr:uid="{D14C4516-E48D-4597-A3B8-CCC6DF4DA7C2}"/>
    <hyperlink ref="B41" r:id="rId38" display="https://map.naver.com/v5/search/%EC%84%9C%EC%9A%B8%ED%8A%B9%EB%B3%84%EC%8B%9C %EA%B0%95%EB%82%A8%EA%B5%AC %EC%97%AD%EC%82%BC%EB%8F%99 840-8" xr:uid="{CD221748-6541-435D-88BF-C834ED0930B1}"/>
    <hyperlink ref="B44" r:id="rId39" display="https://map.naver.com/v5/search/%EC%84%B1%EB%B6%81%EA%B5%AC %EC%84%9D%EA%B4%80%EB%8F%99 384-23" xr:uid="{E185CADA-03B8-4B1A-915F-02AD6ED0D857}"/>
    <hyperlink ref="B45" r:id="rId40" display="https://map.naver.com/v5/search/%EB%85%B8%EC%9B%90%EA%B5%AC %EC%9B%94%EA%B3%84%EB%8F%99 21-17" xr:uid="{6911F7C1-E2B3-4E95-B1DC-248C28E2318B}"/>
    <hyperlink ref="B46" r:id="rId41" display="https://map.naver.com/v5/search/%EB%85%B8%EC%9B%90%EA%B5%AC %EC%9B%94%EA%B3%84%EB%8F%99 951" xr:uid="{F6ED5DC8-0892-456C-800B-D36F04AAD568}"/>
    <hyperlink ref="B47" r:id="rId42" display="https://map.naver.com/v5/search/%EB%85%B8%EC%9B%90%EA%B5%AC %EC%9B%94%EA%B3%84%EB%8F%99 469-3" xr:uid="{22459B64-EE85-4FA6-B894-F79586E3D55D}"/>
    <hyperlink ref="B48" r:id="rId43" display="https://map.naver.com/v5/search/%EA%B0%95%EB%8F%99%EA%B5%AC %EC%B2%9C%ED%98%B8%EB%8F%99 456" xr:uid="{F916774B-FB0D-426D-A285-11A5D05358AE}"/>
    <hyperlink ref="B49" r:id="rId44" display="https://map.naver.com/v5/search/%EA%B4%91%EC%A7%84%EA%B5%AC %EC%A4%91%EA%B3%A1%EB%8F%99 31-1" xr:uid="{F610A75F-D701-453D-BC9F-CA0E8F9B925D}"/>
    <hyperlink ref="B50" r:id="rId45" display="https://map.naver.com/v5/search/%EA%B0%95%EB%8F%99%EA%B5%AC %EA%B8%B8%EB%8F%99 383-9" xr:uid="{8A873AA6-F623-4090-88A9-691BDA2BDDE0}"/>
    <hyperlink ref="B51" r:id="rId46" display="https://map.naver.com/v5/search/%EA%B0%95%EB%8F%99%EA%B5%AC %EC%B2%9C%ED%98%B8%EB%8F%99 155-7" xr:uid="{558EF77F-03C6-4B0E-864F-A775446A8AF3}"/>
    <hyperlink ref="B52" r:id="rId47" display="https://map.naver.com/v5/search/%EA%B0%95%EB%8F%99%EA%B5%AC %EC%B2%9C%ED%98%B8%EB%8F%99 155-7" xr:uid="{5FEE59BB-4341-42AB-89A3-33377613FBC6}"/>
    <hyperlink ref="B53" r:id="rId48" display="https://map.naver.com/v5/search/%EA%B0%95%EB%8F%99%EA%B5%AC %EC%84%B1%EB%82%B4%EB%8F%99 416" xr:uid="{40C784EA-E5FB-4F01-9421-7CCD17B90E7A}"/>
    <hyperlink ref="B54" r:id="rId49" display="https://map.naver.com/v5/search/%EA%B0%95%EB%8F%99%EA%B5%AC %EC%84%B1%EB%82%B4%EB%8F%99 439-5" xr:uid="{134AEE99-97AC-4C5E-947B-DCE8574C2C34}"/>
    <hyperlink ref="B55" r:id="rId50" display="https://map.naver.com/v5/search/%EA%B0%95%EB%8F%99%EA%B5%AC %EA%B8%B8%EB%8F%99 411-4" xr:uid="{42715F7A-FE6F-4796-B7C2-7E7A98ADC9F9}"/>
    <hyperlink ref="B56" r:id="rId51" display="https://map.naver.com/v5/search/%EA%B0%95%EB%8F%99%EA%B5%AC %EA%B8%B8%EB%8F%99 320-4" xr:uid="{66BF7DDF-1ACE-4AF3-A4A9-806987A8B839}"/>
    <hyperlink ref="B57" r:id="rId52" display="https://map.naver.com/v5/search/%EA%B0%95%EB%8F%99%EA%B5%AC %EA%B8%B8%EB%8F%99 389-4" xr:uid="{D1A1E1D7-B277-4FB0-8E39-70B8ACBC4C62}"/>
    <hyperlink ref="B60" r:id="rId53" display="https://map.naver.com/p/search/%EA%B0%95%EB%8F%99%EA%B5%AC %EA%B8%B8%EB%8F%99 347-12" xr:uid="{37645358-D903-43B0-8D73-1226CEF515FB}"/>
    <hyperlink ref="B61" r:id="rId54" display="https://map.naver.com/p/search/%EA%B0%95%EB%8F%99%EA%B5%AC %EC%84%B1%EB%82%B4%EB%8F%99 413-7" xr:uid="{4A1B0647-6CA8-43F9-92BF-B1A95208E60C}"/>
    <hyperlink ref="B62" r:id="rId55" display="https://map.naver.com/p/search/%EA%B0%95%EB%8F%99%EA%B5%AC %EC%84%B1%EB%82%B4%EB%8F%99 413-10" xr:uid="{64136698-35DB-4A05-860D-02553300844D}"/>
    <hyperlink ref="B63" r:id="rId56" display="https://map.naver.com/p/search/%EA%B0%95%EB%8F%99%EA%B5%AC %EC%95%94%EC%82%AC%EB%8F%99 504-038" xr:uid="{DD2274D3-806D-463E-B551-7C9CEC275F8D}"/>
    <hyperlink ref="B64" r:id="rId57" display="https://map.naver.com/p/search/%EA%B0%95%EB%8F%99%EA%B5%AC %EC%95%94%EC%82%AC%EB%8F%99 504-023" xr:uid="{CA09D2D0-B2D4-45F3-ACE9-6D275039071A}"/>
    <hyperlink ref="B65" r:id="rId58" display="https://map.naver.com/p/search/%EA%B0%95%EB%8F%99%EA%B5%AC %EB%91%94%EC%B4%8C%EB%8F%99 426-000" xr:uid="{BB889037-9BAA-4A0B-BFB8-47BA40CC6E13}"/>
    <hyperlink ref="B66" r:id="rId59" display="https://map.naver.com/p/search/%EA%B5%B0%ED%8F%AC%EC%8B%9C %EC%82%B0%EB%B3%B8%EB%8F%99 1144-1" xr:uid="{D053676C-63B8-4FF4-9AF3-A174AEA93CE2}"/>
    <hyperlink ref="B67" r:id="rId60" display="https://map.naver.com/p/search/%EA%B5%B0%ED%8F%AC%EC%8B%9C %EC%82%B0%EB%B3%B8%EB%8F%99 1137-3" xr:uid="{A3DA7360-CE2F-401C-AD86-1A423BD1C966}"/>
    <hyperlink ref="B68" r:id="rId61" display="https://map.naver.com/p/search/%EA%B5%AC%EB%A1%9C%EA%B5%AC %EA%B5%AC%EB%A1%9C%EB%8F%99 1127-30" xr:uid="{53947976-CAC4-4F8A-8C1A-56CBF2534896}"/>
    <hyperlink ref="B69" r:id="rId62" display="https://map.naver.com/p/search/%EA%B0%95%EB%82%A8%EA%B5%AC %EC%82%BC%EC%84%B1%EB%8F%99 141-19" xr:uid="{3360D02B-3BE7-4BDA-8B16-63D246D16490}"/>
    <hyperlink ref="B70" r:id="rId63" display="https://map.naver.com/p/search/%EA%B0%95%EB%82%A8%EA%B5%AC %EC%97%AD%EC%82%BC%EB%8F%99 707-5" xr:uid="{C2DCCECA-A273-4A3B-B110-40192C917C62}"/>
    <hyperlink ref="B71" r:id="rId64" display="https://map.naver.com/p/search/%EC%98%81%ED%86%B5%EA%B5%AC %EC%98%81%ED%86%B5%EB%8F%99 1024-8" xr:uid="{5F3D6D59-BAAF-4243-B2B1-C73B822C9FEB}"/>
    <hyperlink ref="B72" r:id="rId65" display="https://map.naver.com/p/search/%EA%B0%95%EB%82%A8%EA%B5%AC %EB%8C%80%EC%B9%98%EB%8F%99 936-25" xr:uid="{66D52826-DBBB-4874-93DD-C5748C265AB1}"/>
    <hyperlink ref="B73" r:id="rId66" display="https://map.naver.com/p/search/%EA%B0%95%EB%82%A8%EA%B5%AC %EB%8C%80%EC%B9%98%EB%8F%99 889-75" xr:uid="{CCBE6851-07B2-41C9-9695-71504DB472F1}"/>
    <hyperlink ref="B74" r:id="rId67" display="https://map.naver.com/p/search/%EA%B0%95%EB%82%A8%EA%B5%AC %EB%8C%80%EC%B9%98%EB%8F%99 890-45" xr:uid="{96872A94-F21C-4961-94B1-2B59A11EB2AC}"/>
    <hyperlink ref="B75" r:id="rId68" display="https://map.naver.com/p/search/%EC%98%81%ED%86%B5%EA%B5%AC %EC%98%81%ED%86%B5%EB%8F%99 1037-9" xr:uid="{C6189C18-1795-4AC5-8590-E038AB6DA89B}"/>
    <hyperlink ref="B76" r:id="rId69" display="https://map.naver.com/p/search/%EC%98%81%ED%86%B5%EA%B5%AC %EC%98%81%ED%86%B5%EB%8F%99 1037-12" xr:uid="{F97DD54C-F823-4EB0-84BB-2869DE8BAFF5}"/>
    <hyperlink ref="B77" r:id="rId70" display="https://map.naver.com/p/search/%EB%8F%99%EB%8C%80%EB%AC%B8%EA%B5%AC %EC%9E%A5%EC%95%88%EB%8F%99 430-3" xr:uid="{A59C319C-0B45-4DE7-95E7-9E1D4E284218}"/>
    <hyperlink ref="B78" r:id="rId71" display="https://map.naver.com/p/search/%EC%98%81%ED%86%B5%EA%B5%AC %EC%98%81%ED%86%B5%EB%8F%99 975-10" xr:uid="{A897A9F8-03BD-4EF2-A34C-DBD49C58CD96}"/>
    <hyperlink ref="B79" r:id="rId72" display="https://map.naver.com/p/search/%EC%84%9C%EB%8C%80%EB%AC%B8%EA%B5%AC %EB%82%A8%EA%B0%80%EC%A2%8C%EB%8F%99 385" xr:uid="{3B4D6EE8-2514-4DC5-A84A-FF382B0D06F9}"/>
    <hyperlink ref="B80" r:id="rId73" display="https://map.naver.com/p/search/%EB%A7%88%ED%8F%AC%EA%B5%AC %EC%83%81%EC%95%94%EB%8F%99 33-1" xr:uid="{8C34D15E-7E13-45BC-96E8-CDF79BFA4380}"/>
    <hyperlink ref="B81" r:id="rId74" display="https://map.naver.com/p/search/%EB%A7%88%ED%8F%AC%EA%B5%AC %EC%83%81%EC%95%94%EB%8F%99 1262" xr:uid="{2A3BA60D-0B18-445D-8D21-5EA8D5C1F5FC}"/>
    <hyperlink ref="B118" r:id="rId75" display="https://map.naver.com/?query=%EC%84%9C%EC%9A%B8%20%EA%B0%95%EB%8F%99%EA%B5%AC%20%EC%84%B1%EB%82%B4%EB%8F%99%20435-37%22,%22%EC%A7%80%EB%8F%84" xr:uid="{9CE35A33-99A1-470F-A7BF-EE5CDEA63D95}"/>
    <hyperlink ref="B119" r:id="rId76" display="https://map.naver.com/?query=%EC%84%9C%EC%9A%B8%20%EA%B0%95%EB%8F%99%EA%B5%AC%20%EC%84%B1%EB%82%B4%EB%8F%99%20464-8%22,%22%EC%A7%80%EB%8F%84" xr:uid="{BF2D7DE0-0F3A-4FB1-A780-4E39EEEA48DF}"/>
    <hyperlink ref="B120" r:id="rId77" display="https://map.naver.com/?query=%EC%84%9C%EC%9A%B8%20%EA%B0%95%EB%8F%99%EA%B5%AC%20%EC%84%B1%EB%82%B4%EB%8F%99%20434-2%22,%22%EC%A7%80%EB%8F%84" xr:uid="{20EFCC19-2C96-40B6-AA9B-F57B7AFA40F3}"/>
    <hyperlink ref="B121" r:id="rId78" display="https://map.naver.com/?query=%EC%84%9C%EC%9A%B8%20%EA%B0%95%EB%8F%99%EA%B5%AC%20%EC%84%B1%EB%82%B4%EB%8F%99%20469%22,%22%EC%A7%80%EB%8F%84" xr:uid="{8C1F6306-26A3-497E-928A-8E4743BB6CAF}"/>
    <hyperlink ref="B122" r:id="rId79" display="https://map.naver.com/?query=%EC%84%9C%EC%9A%B8%20%EA%B0%95%EB%8F%99%EA%B5%AC%20%EC%84%B1%EB%82%B4%EB%8F%99%20558-4%22,%22%EC%A7%80%EB%8F%84" xr:uid="{D68BD274-6015-4802-8E31-C32D70B8B819}"/>
    <hyperlink ref="B123" r:id="rId80" display="https://map.naver.com/?query=%EC%84%9C%EC%9A%B8%20%EA%B0%95%EB%8F%99%EA%B5%AC%20%EC%84%B1%EB%82%B4%EB%8F%99%20421-38%22,%22%EC%A7%80%EB%8F%84" xr:uid="{1831383E-DF11-4235-8444-3A2DEAADC0C9}"/>
    <hyperlink ref="B124" r:id="rId81" display="https://map.naver.com/?query=%EC%84%9C%EC%9A%B8%20%EA%B5%AC%EB%A1%9C%EA%B5%AC%20%EA%B5%AC%EB%A1%9C%EB%8F%99%20182-13%22,%22%EC%A7%80%EB%8F%84" xr:uid="{53C15051-C092-40A4-98C1-43D654E3F1CA}"/>
    <hyperlink ref="B125" r:id="rId82" display="https://map.naver.com/?query=%EC%84%9C%EC%9A%B8%20%EB%A7%88%ED%8F%AC%EA%B5%AC%20%EC%9A%A9%EA%B0%95%EB%8F%99%20116-1%22,%22%EC%A7%80%EB%8F%84" xr:uid="{A600297A-2988-479A-8853-057B446569F0}"/>
    <hyperlink ref="B126" r:id="rId83" display="https://map.naver.com/?query=%EC%84%9C%EC%9A%B8%20%EB%A7%88%ED%8F%AC%EA%B5%AC%20%EC%9A%A9%EA%B0%95%EB%8F%99%20122-12%22,%22%EC%A7%80%EB%8F%84" xr:uid="{D521A70D-8D7B-4608-9FA0-A0BF7901C5C9}"/>
    <hyperlink ref="B129" r:id="rId84" display="https://map.naver.com/v5/search/%EC%84%B1%EB%82%A8%EC%8B%9C %EC%88%98%EC%A0%95%EA%B5%AC %EC%B0%BD%EA%B3%A1%EB%8F%99 539-7" xr:uid="{96FD08EF-F09B-4B35-A00E-D04C5330CD53}"/>
    <hyperlink ref="B130" r:id="rId85" display="https://map.naver.com/v5/search/%EC%86%A1%ED%8C%8C%EA%B5%AC %EA%B1%B0%EC%97%AC%EB%8F%99 562-1" xr:uid="{D4FED12A-2BB6-4587-AC6A-BEAE9712EA32}"/>
    <hyperlink ref="B131" r:id="rId86" display="https://map.naver.com/v5/search/%EA%B0%95%EB%82%A8%EA%B5%AC %EB%85%BC%ED%98%84%EB%8F%99 88-8" xr:uid="{456596B0-8AA7-48E4-8840-B79F54624383}"/>
    <hyperlink ref="B132" r:id="rId87" display="https://map.naver.com/v5/search/%EA%B0%95%EB%82%A8%EA%B5%AC %EC%82%BC%EC%84%B1%EB%8F%99 120-12" xr:uid="{4BB108BF-1C07-4230-9FAE-120E6735F975}"/>
    <hyperlink ref="B133" r:id="rId88" display="https://map.naver.com/v5/search/%EA%B0%95%EB%82%A8%EA%B5%AC %EC%82%BC%EC%84%B1%EB%8F%99 130-9" xr:uid="{2F5300D5-0165-4D30-AD8F-29C913BC7DF6}"/>
    <hyperlink ref="B134" r:id="rId89" display="https://map.naver.com/v5/search/%EA%B0%95%EB%82%A8%EA%B5%AC %EC%97%AD%EC%82%BC%EB%8F%99 704-54" xr:uid="{0CE17E66-20E9-41B7-9088-952C759BD0AD}"/>
    <hyperlink ref="B135" r:id="rId90" display="https://map.naver.com/v5/search/%EA%B0%95%EB%82%A8%EA%B5%AC %EC%97%AD%EC%82%BC%EB%8F%99 831-27" xr:uid="{E0C17DCB-F3C7-4A39-95EF-163A8508B8F2}"/>
    <hyperlink ref="B136" r:id="rId91" display="https://map.naver.com/v5/search/%EB%8F%99%EC%9E%91%EA%B5%AC %EC%82%AC%EB%8B%B9%EB%8F%99 130-25" xr:uid="{D65A5E0B-C7B0-493F-871F-39DC51FDB3EB}"/>
    <hyperlink ref="B137" r:id="rId92" display="https://map.naver.com/v5/search/%EC%84%B1%EB%82%A8%EC%8B%9C %EC%88%98%EC%A0%95%EA%B5%AC %EC%B0%BD%EA%B3%A1%EB%8F%99 505" xr:uid="{07905040-7CC7-4B3F-8BE2-C6F18C23BBC5}"/>
    <hyperlink ref="B138" r:id="rId93" display="https://map.naver.com/v5/search/%EC%84%B1%EB%82%A8%EC%8B%9C %EC%88%98%EC%A0%95%EA%B5%AC %EC%B0%BD%EA%B3%A1%EB%8F%99 547-10" xr:uid="{02D1D6B2-8A9D-4360-9734-CC8CC6BB3C02}"/>
    <hyperlink ref="B139" r:id="rId94" display="https://map.naver.com/v5/search/%EC%84%9C%EC%B4%88%EA%B5%AC %EC%84%9C%EC%B4%88%EB%8F%99 1544-2" xr:uid="{904DF138-DF8B-4D58-8972-627DDBABBFFB}"/>
    <hyperlink ref="B140" r:id="rId95" display="https://map.naver.com/v5/search/%EA%B0%95%EB%82%A8%EA%B5%AC %EC%97%AD%EC%82%BC%EB%8F%99 668-24" xr:uid="{0FA1B664-83BF-4264-BFA6-BCD7A2459ABC}"/>
    <hyperlink ref="B141" r:id="rId96" display="https://map.naver.com/v5/search/%EC%84%9C%EC%B4%88%EA%B5%AC %EC%84%9C%EC%B4%88%EB%8F%99 1342-7" xr:uid="{D0C5D012-1BB4-430E-9702-017E82C93DC2}"/>
    <hyperlink ref="B142" r:id="rId97" display="https://map.naver.com/v5/search/%EA%B0%95%EB%82%A8%EA%B5%AC %EB%8F%84%EA%B3%A1%EB%8F%99 944-9" xr:uid="{DA2C25EC-79DA-4D1E-9A95-B4B8654D5617}"/>
    <hyperlink ref="B143" r:id="rId98" display="https://map.naver.com/v5/search/%EC%84%B1%EB%82%A8%EC%8B%9C %EC%88%98%EC%A0%95%EA%B5%AC %EC%B0%BD%EA%B3%A1%EB%8F%99 549-1" xr:uid="{A41682DF-343A-4244-A663-2FB52DD8558B}"/>
    <hyperlink ref="B146" r:id="rId99" display="https://map.naver.com/v5/search/%EC%84%B1%EB%82%A8%EC%8B%9C %EC%88%98%EC%A0%95%EA%B5%AC %EC%B0%BD%EA%B3%A1%EB%8F%99 558-10" xr:uid="{6EFBB9BA-2827-4DCE-B6A2-2FEC32D80CB6}"/>
    <hyperlink ref="B147" r:id="rId100" display="https://map.naver.com/v5/search/%EC%84%B1%EB%82%A8%EC%8B%9C %EC%88%98%EC%A0%95%EA%B5%AC %EC%B0%BD%EA%B3%A1%EB%8F%99 555-6" xr:uid="{92031677-6068-4CEF-9D24-60A731DCF686}"/>
    <hyperlink ref="B148" r:id="rId101" display="https://map.naver.com/v5/search/%EC%84%9C%EC%B4%88%EA%B5%AC %EC%84%9C%EC%B4%88%EB%8F%99 1443-11" xr:uid="{F84842E5-92A2-4BDD-A0A0-127455099A0A}"/>
    <hyperlink ref="B149" r:id="rId102" display="https://map.naver.com/v5/search/%EC%84%B1%EB%82%A8%EC%8B%9C %EC%88%98%EC%A0%95%EA%B5%AC %EC%B0%BD%EA%B3%A1%EB%8F%99 546-7" xr:uid="{451EA9C5-2794-4E81-A0B3-2B764174202F}"/>
    <hyperlink ref="B150" r:id="rId103" display="https://map.naver.com/v5/search/%EC%84%B1%EB%82%A8%EC%8B%9C %EC%88%98%EC%A0%95%EA%B5%AC %EC%B0%BD%EA%B3%A1%EB%8F%99 555-11" xr:uid="{C548945D-1DB1-402B-AF92-FAF9A799EE30}"/>
    <hyperlink ref="B151" r:id="rId104" display="https://map.naver.com/v5/search/%EC%84%B1%EB%82%A8%EC%8B%9C %EC%88%98%EC%A0%95%EA%B5%AC %EC%B0%BD%EA%B3%A1%EB%8F%99 545-9" xr:uid="{44285DAD-94AF-4C26-8753-49383C008C46}"/>
    <hyperlink ref="B152" r:id="rId105" display="https://map.naver.com/v5/search/%EC%84%B1%EB%82%A8%EC%8B%9C %EC%88%98%EC%A0%95%EA%B5%AC %EC%B0%BD%EA%B3%A1%EB%8F%99 555-10" xr:uid="{A42573A1-B6B8-42B2-A63E-863549C239FB}"/>
    <hyperlink ref="B153" r:id="rId106" display="https://map.naver.com/v5/search/%EC%86%A1%ED%8C%8C%EA%B5%AC %EB%AC%B8%EC%A0%95%EB%8F%99 51-1" xr:uid="{3C39FF0D-452C-4A78-B23A-6E1F61CFF7F6}"/>
    <hyperlink ref="B154" r:id="rId107" display="https://map.naver.com/v5/search/%EC%86%A1%ED%8C%8C%EA%B5%AC %EB%AC%B8%EC%A0%95%EB%8F%99 651" xr:uid="{8200AFDD-B71F-4D53-A385-F59C9E2D3C39}"/>
    <hyperlink ref="B155" r:id="rId108" display="https://map.naver.com/v5/search/%EC%86%A1%ED%8C%8C%EA%B5%AC %EB%AC%B8%EC%A0%95%EB%8F%99 651-6" xr:uid="{C15E129D-CA45-4EA1-BD1E-36F7F04CFF41}"/>
    <hyperlink ref="B156" r:id="rId109" display="https://map.naver.com/v5/search/%EA%B4%80%EC%95%85%EA%B5%AC %EC%8B%A0%EB%A6%BC%EB%8F%99 116-23" xr:uid="{DFD82990-84D3-4294-9E92-E00813D9BDF6}"/>
    <hyperlink ref="B157" r:id="rId110" display="https://map.naver.com/v5/search/%EA%B4%80%EC%95%85%EA%B5%AC %EC%8B%A0%EB%A6%BC%EB%8F%99 247-2" xr:uid="{0074E05C-1D1B-4801-8DF7-73819CE64418}"/>
    <hyperlink ref="B158" r:id="rId111" display="https://map.naver.com/v5/search/%EA%B4%80%EC%95%85%EA%B5%AC %EC%8B%A0%EB%A6%BC%EB%8F%99 241-22" xr:uid="{01FAFA20-D562-4126-BDA6-8810B52F0C17}"/>
    <hyperlink ref="B159" r:id="rId112" display="https://map.naver.com/v5/search/%EA%B4%80%EC%95%85%EA%B5%AC %EC%8B%A0%EB%A6%BC%EB%8F%99 1517-1" xr:uid="{62283BBF-B5FC-48BB-9F15-AA51C813F3FB}"/>
    <hyperlink ref="B160" r:id="rId113" display="https://map.naver.com/v5/search/%EA%B4%80%EC%95%85%EA%B5%AC %EC%8B%A0%EB%A6%BC%EB%8F%99 118-3" xr:uid="{B0D59993-3F74-45F9-A516-3D8E98D3C2EE}"/>
    <hyperlink ref="B161" r:id="rId114" display="https://map.naver.com/v5/search/%EA%B4%80%EC%95%85%EA%B5%AC %EC%8B%A0%EB%A6%BC%EB%8F%99 409-4" xr:uid="{D7D5B4E4-5C57-4B2E-9671-D770860C1FE1}"/>
    <hyperlink ref="B162" r:id="rId115" display="https://map.naver.com/v5/search/%EC%84%9C%EC%B4%88%EA%B5%AC %EC%84%9C%EC%B4%88%EB%8F%99 1602-10" xr:uid="{65EB7DD4-627F-4B42-930E-C91D737B286C}"/>
    <hyperlink ref="B163" r:id="rId116" display="https://map.naver.com/v5/search/%EC%84%9C%EC%B4%88%EA%B5%AC %EC%84%9C%EC%B4%88%EB%8F%99 1626-1" xr:uid="{158822C1-8F83-496C-B164-8391BC42AA09}"/>
    <hyperlink ref="B164" r:id="rId117" display="https://map.naver.com/v5/search/%EC%84%9C%EC%B4%88%EA%B5%AC %EC%84%9C%EC%B4%88%EB%8F%99 1598-1" xr:uid="{E7A33334-8A39-40CE-9CB9-7022FECAA55C}"/>
    <hyperlink ref="B165" r:id="rId118" display="https://map.naver.com/v5/search/%EC%84%9C%EC%B4%88%EA%B5%AC %EC%84%9C%EC%B4%88%EB%8F%99 1567-8" xr:uid="{F3F32EDF-CA07-4128-A720-30BBAFC82B61}"/>
    <hyperlink ref="B166" r:id="rId119" display="https://map.naver.com/v5/search/%EC%84%9C%EC%B4%88%EA%B5%AC %EC%84%9C%EC%B4%88%EB%8F%99 1572-9" xr:uid="{179D564D-059B-4C53-8A09-B0FFD7F0FDC4}"/>
    <hyperlink ref="B167" r:id="rId120" display="https://map.naver.com/v5/search/%EC%9D%B8%EC%B2%9C %EC%97%B0%EC%88%98%EA%B5%AC %EB%8F%99%EC%B6%98%EB%8F%99 934-6" xr:uid="{2FC0D6E5-0840-4B59-AA97-EE735D289EEF}"/>
    <hyperlink ref="B168" r:id="rId121" display="https://map.naver.com/v5/search/%EC%9D%B8%EC%B2%9C %EC%97%B0%EC%88%98%EA%B5%AC %EB%8F%99%EC%B6%98%EB%8F%99 934-2" xr:uid="{30B76FD5-CB2E-4B91-AC26-C1AE813A2DC7}"/>
    <hyperlink ref="B169" r:id="rId122" display="https://map.naver.com/v5/search/%EC%9D%B8%EC%B2%9C %EC%97%B0%EC%88%98%EA%B5%AC %EC%97%B0%EC%88%98%EB%8F%99 569-4" xr:uid="{51800C46-8B7E-4CEE-8AFE-A0CCAA73F161}"/>
    <hyperlink ref="B170" r:id="rId123" display="https://map.naver.com/v5/search/%EC%9D%B8%EC%B2%9C %EC%97%B0%EC%88%98%EA%B5%AC %EC%97%B0%EC%88%98%EB%8F%99 592-6" xr:uid="{FD2A1CBC-4E7D-4592-BAEB-AC6705277D11}"/>
    <hyperlink ref="B171" r:id="rId124" display="https://map.naver.com/v5/search/%EC%9D%B8%EC%B2%9C %EC%97%B0%EC%88%98%EA%B5%AC %EB%8F%99%EC%B6%98%EB%8F%99 1117-3" xr:uid="{81363A36-7D67-4F2A-BEBD-8EDF7E3AFCF5}"/>
    <hyperlink ref="B172" r:id="rId125" display="https://map.naver.com/v5/search/%EC%9D%B8%EC%B2%9C %EC%97%B0%EC%88%98%EA%B5%AC %EC%97%B0%EC%88%98%EB%8F%99 598-12" xr:uid="{B03BE8C3-900A-4FCB-B8CA-30714C9AD80C}"/>
    <hyperlink ref="B173" r:id="rId126" display="https://map.naver.com/v5/search/%EC%84%9C%EC%B4%88%EA%B5%AC %EC%84%9C%EC%B4%88%EB%8F%99 1557-8" xr:uid="{84B52FF0-8EC5-4A90-945F-583A4DF8EC66}"/>
    <hyperlink ref="B174" r:id="rId127" display="https://map.naver.com/v5/search/%EC%84%9C%EC%B4%88%EA%B5%AC %EC%84%9C%EC%B4%88%EB%8F%99 1624-9" xr:uid="{E4913EC4-F349-425D-8061-42C83F1398A6}"/>
    <hyperlink ref="B175" r:id="rId128" display="https://map.naver.com/v5/search/%EC%84%9C%EC%B4%88%EA%B5%AC %EC%84%9C%EC%B4%88%EB%8F%99 1510-2" xr:uid="{54563B17-56D3-4CA0-9BB2-ABB2DBB834CA}"/>
    <hyperlink ref="B176" r:id="rId129" display="https://map.naver.com/v5/search/%EC%9D%B8%EC%B2%9C %EC%97%B0%EC%88%98%EA%B5%AC %EC%86%A1%EB%8F%84%EB%8F%99 23-4" xr:uid="{9BA758A6-04B6-4173-B38D-6E3919131BB8}"/>
    <hyperlink ref="B177" r:id="rId130" display="https://map.naver.com/v5/search/%EC%84%9C%EC%9A%B8 %EA%B5%AC%EB%A1%9C%EA%B5%AC %EA%B0%9C%EB%B4%89%EB%8F%99 403-71" xr:uid="{3FB4DD8E-48A0-4D75-BCE0-04499522DBFE}"/>
    <hyperlink ref="B180" r:id="rId131" display="https://map.naver.com/v5/search/%EA%B2%BD%EA%B8%B0%EB%8F%84 %EA%B4%91%EB%AA%85%EC%8B%9C %ED%95%98%EC%95%88%EB%8F%99 322-5" xr:uid="{9CD74797-B6A6-4D34-9540-DFF3A472A037}"/>
    <hyperlink ref="B181" r:id="rId132" display="https://map.naver.com/v5/search/%EC%84%9C%EC%B4%88%EA%B5%AC %EC%84%9C%EC%B4%88%EB%8F%99 1445-4" xr:uid="{A056D5AA-18CC-477C-903B-34866D6C7346}"/>
    <hyperlink ref="B182" r:id="rId133" display="https://map.naver.com/v5/search/%EA%B2%BD%EA%B8%B0%EB%8F%84 %EC%8B%9C%ED%9D%A5%EC%8B%9C %EC%A0%95%EC%99%95%EB%8F%99 1736-6" xr:uid="{9DEC879A-9844-4532-A023-CE74A9DB1ED2}"/>
    <hyperlink ref="B183" r:id="rId134" display="https://map.naver.com/v5/search/%EA%B2%BD%EA%B8%B0%EB%8F%84 %EC%8B%9C%ED%9D%A5%EC%8B%9C %EC%A0%95%EC%99%95%EB%8F%99 1736-6" xr:uid="{ACD58003-237D-4E56-9BEA-7FAE5FE0299A}"/>
    <hyperlink ref="B184" r:id="rId135" display="https://map.naver.com/v5/search/%EA%B2%BD%EA%B8%B0%EB%8F%84 %EC%8B%9C%ED%9D%A5%EC%8B%9C %EC%A0%95%EC%99%95%EB%8F%99 1736-3" xr:uid="{65C05E31-ADA4-4628-9D8F-04F295E9F0D4}"/>
    <hyperlink ref="B185" r:id="rId136" display="https://map.naver.com/v5/search/%EC%84%9C%EC%9A%B8 %EA%B5%AC%EB%A1%9C%EA%B5%AC %EC%98%A4%EB%A5%98%EB%8F%99 77-1" xr:uid="{C8516E37-4470-40F7-BFDD-5BBE7AD77AF9}"/>
    <hyperlink ref="B186" r:id="rId137" display="https://map.naver.com/v5/search/%EA%B2%BD%EA%B8%B0%EB%8F%84 %EC%8B%9C%ED%9D%A5%EC%8B%9C %EC%A0%95%EC%99%95%EB%8F%99 1624-10" xr:uid="{7157421A-D4B8-48F3-B233-17FB16EB345C}"/>
    <hyperlink ref="B187" r:id="rId138" display="https://map.naver.com/v5/search/%EA%B2%BD%EA%B8%B0%EB%8F%84 %EC%8B%9C%ED%9D%A5%EC%8B%9C %EC%A0%95%EC%99%95%EB%8F%99 1622-2" xr:uid="{2DCBBFA1-A1FF-453D-8F29-7D73B610FC40}"/>
    <hyperlink ref="B188" r:id="rId139" display="https://map.naver.com/v5/search/%EA%B2%BD%EA%B8%B0%EB%8F%84 %EC%8B%9C%ED%9D%A5%EC%8B%9C %EB%B0%B0%EA%B3%A7%EB%8F%99 215" xr:uid="{2C0F1112-6614-45F0-8657-00A02AC3C3D7}"/>
    <hyperlink ref="B189" r:id="rId140" display="https://map.naver.com/v5/search/%EA%B2%BD%EA%B8%B0%EB%8F%84 %EC%8B%9C%ED%9D%A5%EC%8B%9C %EB%B0%B0%EA%B3%A7%EB%8F%99 126" xr:uid="{57B42A1A-5676-4959-B39E-9C316F35C2D4}"/>
    <hyperlink ref="B190" r:id="rId141" display="https://map.naver.com/v5/search/%EA%B2%BD%EA%B8%B0%EB%8F%84 %EC%8B%9C%ED%9D%A5%EC%8B%9C %EC%A0%95%EC%99%95%EB%8F%99 1742-13" xr:uid="{DBE6F42E-17CB-472A-84EE-0CF085B83218}"/>
    <hyperlink ref="B191" r:id="rId142" display="https://map.naver.com/v5/search/%EC%9D%B8%EC%B2%9C%EA%B4%91%EC%97%AD%EC%8B%9C %EB%82%A8%EB%8F%99%EA%B5%AC %EC%84%9C%EC%B0%BD%EB%82%A8%EB%A1%9C 16-28" xr:uid="{6F7B7E8D-BDA6-4E21-BF1E-76EF1BA0B484}"/>
    <hyperlink ref="B194" r:id="rId143" display="https://map.naver.com/p/search/%EA%B2%BD%EA%B8%B0%EB%8F%84 %EC%8B%9C%ED%9D%A5%EC%8B%9C %EC%A0%95%EC%99%95%EB%8F%99 1727-2%22,%22%EC%A7%80%EB%8F%84" xr:uid="{8535F7D1-56AE-480D-A055-0AE300D60E55}"/>
    <hyperlink ref="B195" r:id="rId144" display="https://map.naver.com/p/search/%EC%84%9C%EC%9A%B8%ED%8A%B9%EB%B3%84%EC%8B%9C %EA%B4%80%EC%95%85%EA%B5%AC %EB%B4%89%EC%B2%9C%EB%8F%99 945-1%22,%22%EC%A7%80%EB%8F%84" xr:uid="{4BE42EEC-71D4-451A-84DB-AF15195C55B7}"/>
    <hyperlink ref="B196" r:id="rId145" display="https://map.naver.com/p/search/%EC%84%9C%EC%9A%B8 %EA%B8%88%EC%B2%9C%EA%B5%AC %EB%8F%85%EC%82%B0%EB%8F%99 951-4%22,%22%EC%A7%80%EB%8F%84" xr:uid="{19A1D32B-1702-422F-8B34-21635D4EA661}"/>
    <hyperlink ref="B197" r:id="rId146" display="https://map.naver.com/p/search/%EA%B2%BD%EA%B8%B0 %EC%8B%9C%ED%9D%A5%EC%8B%9C %EC%A0%95%EC%99%95%EB%8F%99 1855-15%22,%22%EC%A7%80%EB%8F%84" xr:uid="{2688E6E8-1EAE-4BC1-8263-D358F8905320}"/>
    <hyperlink ref="B198" r:id="rId147" display="https://map.naver.com/p/search/%EA%B2%BD%EA%B8%B0%EB%8F%84 %EC%95%88%EC%82%B0%EC%8B%9C %EB%8B%A8%EC%9B%90%EA%B5%AC %EC%8B%A0%EA%B8%B8%EB%8F%99 1633%22,%22%EC%A7%80%EB%8F%84" xr:uid="{D9B1BEA7-9320-4B56-B7D8-D30830434652}"/>
    <hyperlink ref="B199" r:id="rId148" display="https://map.naver.com/p/search/%EC%84%9C%EC%9A%B8 %EA%B4%80%EC%95%85%EA%B5%AC %EB%B4%89%EC%B2%9C%EB%8F%99 1674-10%22,%22%EC%A7%80%EB%8F%84" xr:uid="{2485D7C8-BAA0-4E32-8866-7482F4CF6A3B}"/>
    <hyperlink ref="B200" r:id="rId149" display="https://map.naver.com/p/search/%EC%84%9C%EC%9A%B8 %EA%B4%91%EC%A7%84%EA%B5%AC %EC%9E%90%EC%96%91%EB%8F%99 794%22,%22%EC%A7%80%EB%8F%84" xr:uid="{FF11DECD-4DD2-43E0-BABB-95D07E80D972}"/>
    <hyperlink ref="B203" r:id="rId150" display="https://map.naver.com/v5/search/%EC%98%81%EB%93%B1%ED%8F%AC%EA%B5%AC %EB%8B%B9%EC%82%B0%EB%8F%996%EA%B0%80 3-5" xr:uid="{590A3336-5558-47A1-AE01-9747C610D935}"/>
    <hyperlink ref="B204" r:id="rId151" display="https://map.naver.com/v5/search/%EA%B4%91%EC%A7%84%EA%B5%AC %EC%A4%91%EA%B3%A1%EB%8F%99 31-1" xr:uid="{4AF8199A-1C6F-4BDA-B704-1BFFC80406B0}"/>
    <hyperlink ref="B205" r:id="rId152" display="https://map.naver.com/v5/search/%EC%95%88%EC%96%91%EC%8B%9C %EB%8F%99%EC%95%88%EA%B5%AC %EA%B4%80%EC%96%91%EB%8F%99 1606" xr:uid="{F8A0B148-6013-4F17-A3F8-F1E7BEB9CB94}"/>
    <hyperlink ref="B206" r:id="rId153" display="https://map.naver.com/v5/search/%EC%95%88%EC%96%91%EC%8B%9C %EB%8F%99%EC%95%88%EA%B5%AC %EA%B4%80%EC%96%91%EB%8F%99 1606" xr:uid="{F381B07F-E93D-4A8D-9F78-5D04DFBC48E5}"/>
    <hyperlink ref="B207" r:id="rId154" display="https://map.naver.com/v5/search/%EC%95%88%EC%96%91%EC%8B%9C %EB%8F%99%EC%95%88%EA%B5%AC %EA%B4%80%EC%96%91%EB%8F%99 1725-3" xr:uid="{4453DBCF-7C17-46B1-89A3-D97588D53321}"/>
    <hyperlink ref="B208" r:id="rId155" display="https://map.naver.com/v5/search/%EC%95%88%EC%96%91%EC%8B%9C %EB%8F%99%EC%95%88%EA%B5%AC %EB%B9%84%EC%82%B0%EB%8F%99 1034-10" xr:uid="{7B70232E-5740-4D8F-A5B2-E219F7F7516B}"/>
    <hyperlink ref="B209" r:id="rId156" display="https://map.naver.com/v5/search/%EC%95%88%EC%96%91%EC%8B%9C %EB%8F%99%EC%95%88%EA%B5%AC %EB%B9%84%EC%82%B0%EB%8F%99 422-12" xr:uid="{E2BA8281-8793-4C02-8E55-A63C48131ABA}"/>
    <hyperlink ref="B210" r:id="rId157" display="https://map.naver.com/v5/search/%EC%95%88%EC%82%B0%EC%8B%9C %EB%8B%A8%EC%9B%90%EA%B5%AC %EA%B3%A0%EC%9E%94%EB%8F%99 541-1" xr:uid="{75DC284A-B6A6-41D8-B7BF-F76290B4428D}"/>
    <hyperlink ref="B211" r:id="rId158" display="https://map.naver.com/v5/search/%EC%95%88%EC%96%91%EC%8B%9C %EB%8F%99%EC%95%88%EA%B5%AC %EB%B9%84%EC%82%B0%EB%8F%99 547-16" xr:uid="{32F3B2D0-9687-46F4-A4B8-5F1A2CF0E152}"/>
    <hyperlink ref="B212" r:id="rId159" display="https://map.naver.com/v5/search/%EC%95%88%EC%96%91%EC%8B%9C %EB%8F%99%EC%95%88%EA%B5%AC %ED%98%B8%EA%B3%84%EB%8F%99 926-4" xr:uid="{00265ABC-23E4-436F-BABE-68E80351CEBF}"/>
    <hyperlink ref="B213" r:id="rId160" display="https://map.naver.com/v5/search/%EC%95%88%EC%96%91%EC%8B%9C %EB%8F%99%EC%95%88%EA%B5%AC %ED%98%B8%EA%B3%84%EB%8F%99 1048-3" xr:uid="{4AD0D8AD-66D6-4E00-8C4A-5BC5B672CF7F}"/>
    <hyperlink ref="B214" r:id="rId161" display="https://map.naver.com/v5/search/%EC%95%88%EC%96%91%EC%8B%9C %EB%8F%99%EC%95%88%EA%B5%AC %EA%B4%80%EC%96%91%EB%8F%99 1607" xr:uid="{01F859DD-CD22-4C21-A524-32FA1A45A062}"/>
    <hyperlink ref="B215" r:id="rId162" display="https://map.naver.com/v5/search/%EC%95%88%EC%96%91%EC%8B%9C %EB%8F%99%EC%95%88%EA%B5%AC %EA%B4%80%EC%96%91%EB%8F%99 1608-2" xr:uid="{D8749294-0D7F-4FB8-A29E-6349CF23E168}"/>
    <hyperlink ref="B216" r:id="rId163" display="https://map.naver.com/v5/search/%EC%95%88%EC%96%91%EC%8B%9C %EB%8F%99%EC%95%88%EA%B5%AC %EA%B4%80%EC%96%91%EB%8F%99 1597" xr:uid="{292F0017-89AC-4F59-8654-46EA9D24F4B6}"/>
    <hyperlink ref="B217" r:id="rId164" display="https://map.naver.com/v5/search/%EC%95%88%EC%96%91%EC%8B%9C %EB%8F%99%EC%95%88%EA%B5%AC %EA%B4%80%EC%96%91%EB%8F%99 1746-3" xr:uid="{2E135FA6-E80A-43B3-B603-81FC76DF53E7}"/>
    <hyperlink ref="B218" r:id="rId165" display="https://map.naver.com/v5/search/%EC%9D%98%EC%99%95%EC%8B%9C %EB%82%B4%EC%86%90%EB%8F%99 416-3" xr:uid="{C6BAEEF0-6BD1-48EF-B1C1-210E4C155F38}"/>
    <hyperlink ref="B219" r:id="rId166" display="https://map.naver.com/v5/search/%EC%9D%98%EC%99%95%EC%8B%9C %EB%82%B4%EC%86%90%EB%8F%99 416-3" xr:uid="{687A47A2-9792-43A8-BB27-E3E4D07AD944}"/>
    <hyperlink ref="B220" r:id="rId167" display="https://map.naver.com/v5/search/%EC%95%88%EC%96%91%EC%8B%9C %EB%8F%99%EC%95%88%EA%B5%AC %ED%8F%89%EC%B4%8C%EB%8F%99 904-2" xr:uid="{F0876328-69E8-48BA-AA9F-26370EC8047C}"/>
    <hyperlink ref="B221" r:id="rId168" display="https://map.naver.com/v5/search/%EC%95%88%EC%96%91%EC%8B%9C %EB%8F%99%EC%95%88%EA%B5%AC %ED%8F%89%EC%B4%8C%EB%8F%99 902-2" xr:uid="{C21DD755-F6BA-475B-B3D0-D18E94373561}"/>
    <hyperlink ref="B222" r:id="rId169" display="https://map.naver.com/v5/search/%EC%95%88%EC%96%91%EC%8B%9C %EB%8F%99%EC%95%88%EA%B5%AC %ED%8F%89%EC%B4%8C%EB%8F%99 900-9" xr:uid="{D9BED3AC-6FB1-4AA9-91E6-0C48752CACD6}"/>
    <hyperlink ref="B223" r:id="rId170" display="https://map.naver.com/v5/search/%EC%95%88%EC%96%91%EC%8B%9C %EB%A7%8C%EC%95%88%EA%B5%AC %EC%95%88%EC%96%91%EB%8F%99 674-135" xr:uid="{89527312-27C4-43F8-AFF8-ABD48ED2053C}"/>
    <hyperlink ref="B224" r:id="rId171" display="https://map.naver.com/v5/search/%EC%84%9C%EC%B4%88%EA%B5%AC %EC%84%9C%EC%B4%88%EB%8F%99 1671-2" xr:uid="{4F6305ED-5AB1-4473-BFDC-89A80B15A22D}"/>
    <hyperlink ref="B227" r:id="rId172" display="https://map.naver.com/v5/search/%EC%9D%B8%EC%B2%9C%EA%B4%91%EC%97%AD%EC%8B%9C %EB%AF%B8%EC%B6%94%ED%99%80%EA%B5%AC %EC%A3%BC%EC%95%88%EB%8F%99 230-1" xr:uid="{8051ED10-61DE-42BA-B9C0-2A1E57FF8719}"/>
    <hyperlink ref="B228" r:id="rId173" display="https://map.naver.com/v5/search/%EC%9D%B8%EC%B2%9C%EA%B4%91%EC%97%AD%EC%8B%9C %EB%AF%B8%EC%B6%94%ED%99%80%EA%B5%AC %EC%A3%BC%EC%95%88%EB%8F%99 230-1" xr:uid="{6FF5FB79-2E9F-4FE5-92C9-7252921BB0D9}"/>
    <hyperlink ref="B229" r:id="rId174" display="https://map.naver.com/v5/search/%EC%9D%B8%EC%B2%9C%EA%B4%91%EC%97%AD%EC%8B%9C %EB%AF%B8%EC%B6%94%ED%99%80%EA%B5%AC %EC%A3%BC%EC%95%88%EB%8F%99 136-6" xr:uid="{0CF55104-0950-4805-9E0B-6A39F2ABA476}"/>
    <hyperlink ref="B230" r:id="rId175" display="https://map.naver.com/v5/search/%EC%9D%B8%EC%B2%9C%EA%B4%91%EC%97%AD%EC%8B%9C %EB%AF%B8%EC%B6%94%ED%99%80%EA%B5%AC %EC%A3%BC%EC%95%88%EB%8F%99 1417-85" xr:uid="{94A2A9BF-F1A4-4605-B695-2DAD7CDC5AFF}"/>
    <hyperlink ref="B231" r:id="rId176" display="https://map.naver.com/v5/search/%EC%98%81%EB%93%B1%ED%8F%AC%EA%B5%AC %EC%8B%A0%EA%B8%B8%EB%8F%99 820" xr:uid="{385955FA-3BEA-401C-A6B8-B53B10006C11}"/>
    <hyperlink ref="B232" r:id="rId177" display="https://map.naver.com/v5/search/%EC%9D%B8%EC%B2%9C%EA%B4%91%EC%97%AD%EC%8B%9C %EB%AF%B8%EC%B6%94%ED%99%80%EA%B5%AC %EC%A3%BC%EC%95%88%EB%8F%99 138-4" xr:uid="{C46C8A59-1A55-43C5-876A-195E7BFF92DC}"/>
    <hyperlink ref="B233" r:id="rId178" display="https://map.naver.com/v5/search/%EC%A4%91%EB%9E%91%EA%B5%AC %EB%A9%B4%EB%AA%A9%EB%8F%99 497-7" xr:uid="{2FB2F01B-6A02-44E8-8A82-ACD112D836FF}"/>
    <hyperlink ref="B234" r:id="rId179" display="https://map.naver.com/v5/search/%EC%9D%B8%EC%B2%9C%EA%B4%91%EC%97%AD%EC%8B%9C %EB%AF%B8%EC%B6%94%ED%99%80%EA%B5%AC %EC%A3%BC%EC%95%88%EB%8F%99 190-5" xr:uid="{0367054C-F5B3-4FFD-B526-B0F2645BC0D9}"/>
    <hyperlink ref="B235" r:id="rId180" display="https://map.naver.com/v5/search/%EC%9D%B8%EC%B2%9C%EA%B4%91%EC%97%AD%EC%8B%9C %EB%AF%B8%EC%B6%94%ED%99%80%EA%B5%AC %EC%A3%BC%EC%95%88%EB%8F%99 186-11" xr:uid="{C93569CA-95B0-4FAD-A9D4-681582BA52A8}"/>
    <hyperlink ref="B236" r:id="rId181" display="https://map.naver.com/v5/search/%EC%9D%B8%EC%B2%9C%EA%B4%91%EC%97%AD%EC%8B%9C %EB%AF%B8%EC%B6%94%ED%99%80%EA%B5%AC %EC%A3%BC%EC%95%88%EB%8F%99 431-9" xr:uid="{0197BA27-FDBA-4B22-82C4-DE06E49C5A02}"/>
    <hyperlink ref="B237" r:id="rId182" display="https://map.naver.com/v5/search/%EC%9D%B8%EC%B2%9C%EA%B4%91%EC%97%AD%EC%8B%9C %EB%AF%B8%EC%B6%94%ED%99%80%EA%B5%AC %EC%A3%BC%EC%95%88%EB%8F%99 434-2" xr:uid="{6F5812AC-B816-4D6D-AD07-4CD7C4D27350}"/>
    <hyperlink ref="B238" r:id="rId183" display="https://map.naver.com/v5/search/%EA%B0%95%EB%8F%99%EA%B5%AC %EC%B2%9C%ED%98%B8%EB%8F%99 427-53" xr:uid="{650BE822-D5F7-4538-B681-91503BF30F98}"/>
    <hyperlink ref="B239" r:id="rId184" display="https://map.naver.com/v5/search/%EC%9D%B8%EC%B2%9C%EA%B4%91%EC%97%AD%EC%8B%9C %EB%AF%B8%EC%B6%94%ED%99%80%EA%B5%AC %EC%A3%BC%EC%95%88%EB%8F%99 185-2" xr:uid="{4CAC2607-326D-4BEA-97C5-CEC86D138CE3}"/>
    <hyperlink ref="B240" r:id="rId185" display="https://map.naver.com/v5/search/%EC%9D%B8%EC%B2%9C%EA%B4%91%EC%97%AD%EC%8B%9C %EB%82%A8%EB%8F%99%EA%B5%AC %EC%84%9C%EC%B0%BD%EB%8F%99 708-1" xr:uid="{562CDF22-2B6D-4293-82CB-222BA4E103D5}"/>
    <hyperlink ref="B241" r:id="rId186" display="https://map.naver.com/v5/search/%EB%85%B8%EC%9B%90%EA%B5%AC %EC%83%81%EA%B3%84%EB%8F%99 349-3" xr:uid="{FD4FD196-453C-4359-BE8A-5A018FE6E038}"/>
    <hyperlink ref="B242" r:id="rId187" display="https://map.naver.com/v5/search/%EB%85%B8%EC%9B%90%EA%B5%AC %EC%83%81%EA%B3%84%EB%8F%99 327-1" xr:uid="{E7EB109C-3001-4D8A-ABEA-E8B47C66CA11}"/>
    <hyperlink ref="B243" r:id="rId188" display="https://map.naver.com/v5/search/%EB%85%B8%EC%9B%90%EA%B5%AC %EC%83%81%EA%B3%84%EB%8F%99 735-3" xr:uid="{AEB745F1-775C-4ACF-9C97-04AD9996E9AE}"/>
    <hyperlink ref="B244" r:id="rId189" display="https://map.naver.com/v5/search/%EC%9D%B8%EC%B2%9C%EA%B4%91%EC%97%AD%EC%8B%9C %EB%AF%B8%EC%B6%94%ED%99%80%EA%B5%AC %EC%A3%BC%EC%95%88%EB%8F%99 1007-6" xr:uid="{47C7D157-48AC-4913-AD75-4368331317C7}"/>
    <hyperlink ref="B245" r:id="rId190" display="https://map.naver.com/v5/search/%EC%9D%B8%EC%B2%9C%EA%B4%91%EC%97%AD%EC%8B%9C %EB%AF%B8%EC%B6%94%ED%99%80%EA%B5%AC %EC%A3%BC%EC%95%88%EB%8F%99 956-1" xr:uid="{C1B263CC-218A-4DAD-958C-2D57AFBB8978}"/>
    <hyperlink ref="B246" r:id="rId191" display="https://map.naver.com/v5/search/%EC%9D%B8%EC%B2%9C%EA%B4%91%EC%97%AD%EC%8B%9C %EB%AF%B8%EC%B6%94%ED%99%80%EA%B5%AC %EC%A3%BC%EC%95%88%EB%8F%99 954-1" xr:uid="{4FFDE4DE-1182-468B-BE8D-5B9FE66867A2}"/>
    <hyperlink ref="B247" r:id="rId192" display="https://map.naver.com/v5/search/%EC%9D%B8%EC%B2%9C%EA%B4%91%EC%97%AD%EC%8B%9C %EB%AF%B8%EC%B6%94%ED%99%80%EA%B5%AC %EC%A3%BC%EC%95%88%EB%8F%99 1542" xr:uid="{6BEA8B1D-BF68-4167-8ED7-E84122513612}"/>
    <hyperlink ref="B248" r:id="rId193" display="https://map.naver.com/v5/search/%EC%9D%B8%EC%B2%9C%EA%B4%91%EC%97%AD%EC%8B%9C %EB%AF%B8%EC%B6%94%ED%99%80%EA%B5%AC %EC%A3%BC%EC%95%88%EB%8F%99 1542" xr:uid="{3FE91724-7676-4AC9-855C-3FB7DC685122}"/>
    <hyperlink ref="B249" r:id="rId194" display="https://map.naver.com/v5/search/%EC%9D%B8%EC%B2%9C%EA%B4%91%EC%97%AD%EC%8B%9C %EB%AF%B8%EC%B6%94%ED%99%80%EA%B5%AC %EC%A3%BC%EC%95%88%EB%8F%99 1542-26" xr:uid="{26054F4D-C4BD-4091-94E9-94B90D4CA75E}"/>
    <hyperlink ref="B250" r:id="rId195" display="https://map.naver.com/v5/search/%EC%9D%B8%EC%B2%9C%EA%B4%91%EC%97%AD%EC%8B%9C %EB%AF%B8%EC%B6%94%ED%99%80%EA%B5%AC %EC%A3%BC%EC%95%88%EB%8F%99 210-1" xr:uid="{FB62A02C-C907-4E6F-B0FF-18F9136E1194}"/>
    <hyperlink ref="B251" r:id="rId196" display="https://map.naver.com/v5/search/%EC%9D%B8%EC%B2%9C%EA%B4%91%EC%97%AD%EC%8B%9C %EB%AF%B8%EC%B6%94%ED%99%80%EA%B5%AC %EC%A3%BC%EC%95%88%EB%8F%99 173-1" xr:uid="{469F809A-D64E-4047-A186-13937F927A5E}"/>
    <hyperlink ref="B252" r:id="rId197" display="https://map.naver.com/v5/search/%EC%9D%B8%EC%B2%9C%EA%B4%91%EC%97%AD%EC%8B%9C %EB%AF%B8%EC%B6%94%ED%99%80%EA%B5%AC %EC%A3%BC%EC%95%88%EB%8F%99 24-26" xr:uid="{A8ACDFEB-DF5E-47EB-A00F-9CDEDC021700}"/>
    <hyperlink ref="B255" r:id="rId198" display="https://map.naver.com/v5/search/%EC%9D%B8%EC%B2%9C%EA%B4%91%EC%97%AD%EC%8B%9C %EB%82%A8%EB%8F%99%EA%B5%AC %EA%B5%AC%EC%9B%94%EB%8F%99 1492-3" xr:uid="{1DB2910F-08B3-4555-88A6-030CE6D2A320}"/>
    <hyperlink ref="B256" r:id="rId199" display="https://map.naver.com/v5/search/%EC%86%A1%ED%8C%8C%EA%B5%AC %EA%B0%80%EB%9D%BD%EB%8F%99 76-5" xr:uid="{6DB0AD4C-306C-4FC9-ACF2-7CC0D0B9F622}"/>
    <hyperlink ref="B257" r:id="rId200" display="https://map.naver.com/v5/search/%EC%9D%B8%EC%B2%9C%EA%B4%91%EC%97%AD%EC%8B%9C %EA%B3%84%EC%96%91%EA%B5%AC %EA%B3%84%EC%82%B0%EB%8F%99 1076-12" xr:uid="{5FD501C4-FB61-4407-9BA6-E03B77F27B28}"/>
    <hyperlink ref="B258" r:id="rId201" display="https://map.naver.com/v5/search/%EC%9D%B8%EC%B2%9C%EA%B4%91%EC%97%AD%EC%8B%9C %EA%B3%84%EC%96%91%EA%B5%AC %EA%B3%84%EC%82%B0%EB%8F%99 1063-2" xr:uid="{9C4A4B0B-F5DA-494F-96F2-1859DCAC0CDB}"/>
    <hyperlink ref="B259" r:id="rId202" display="https://map.naver.com/v5/search/%EC%9D%B8%EC%B2%9C%EA%B4%91%EC%97%AD%EC%8B%9C %EA%B3%84%EC%96%91%EA%B5%AC %EC%9E%91%EC%A0%84%EB%8F%99 426-2" xr:uid="{A61AC54A-ED8F-4CBF-935E-62E1C30BF892}"/>
    <hyperlink ref="B260" r:id="rId203" display="https://map.naver.com/v5/search/%EC%9D%B8%EC%B2%9C%EA%B4%91%EC%97%AD%EC%8B%9C %EC%84%9C%EA%B5%AC %EA%B0%80%EC%A0%95%EB%8F%99 645-6" xr:uid="{3EC20676-70B5-454A-860E-DCC0B98C25F6}"/>
    <hyperlink ref="B261" r:id="rId204" display="https://map.naver.com/v5/search/%EC%9D%B8%EC%B2%9C%EA%B4%91%EC%97%AD%EC%8B%9C %EC%84%9C%EA%B5%AC %EC%8B%A0%ED%98%84%EB%8F%99 307-8" xr:uid="{EE21C28B-6DA7-4B57-A164-FE8D8E10AB5D}"/>
    <hyperlink ref="B262" r:id="rId205" display="https://map.naver.com/v5/search/%EC%A4%91%EB%9E%91%EA%B5%AC %EC%83%81%EB%B4%89%EB%8F%99 116-4" xr:uid="{FDA19D13-07B2-4A38-976F-0E9ACC2EE2A2}"/>
    <hyperlink ref="B263" r:id="rId206" display="https://map.naver.com/v5/search/%EC%95%88%EC%82%B0%EC%8B%9C %EB%8B%A8%EC%9B%90%EA%B5%AC %EA%B3%A0%EC%9E%94%EB%8F%99 775" xr:uid="{FCED5B4C-CA64-480D-B963-9BE17285669C}"/>
    <hyperlink ref="B264" r:id="rId207" display="https://map.naver.com/v5/search/%EC%9A%A9%EC%9D%B8%EC%8B%9C %EC%88%98%EC%A7%80%EA%B5%AC %EC%83%81%ED%98%84%EB%8F%99 1131-3" xr:uid="{0D6250F9-3777-494E-B30D-9312AC7506FB}"/>
    <hyperlink ref="B265" r:id="rId208" display="https://map.naver.com/v5/search/%EC%9A%A9%EC%9D%B8%EC%8B%9C %EC%88%98%EC%A7%80%EA%B5%AC %EC%83%81%ED%98%84%EB%8F%99 1131-5" xr:uid="{3F36A29E-C64B-4465-887C-6E03C0B5F838}"/>
    <hyperlink ref="B266" r:id="rId209" display="https://map.naver.com/v5/search/%EC%9D%B8%EC%B2%9C%EA%B4%91%EC%97%AD%EC%8B%9C %EB%82%A8%EB%8F%99%EA%B5%AC %EA%B5%AC%EC%9B%94%EB%8F%99 70-10" xr:uid="{03674985-E076-42DB-A7E0-4850F1CDBC86}"/>
    <hyperlink ref="B267" r:id="rId210" display="https://map.naver.com/v5/search/%EA%B3%A0%EC%96%91%EC%8B%9C %EB%8D%95%EC%96%91%EA%B5%AC %ED%99%94%EC%A0%95%EB%8F%99 975" xr:uid="{86EE935D-91E6-4EB4-8256-820FC2514351}"/>
    <hyperlink ref="B268" r:id="rId211" display="https://map.naver.com/v5/search/%EC%88%98%EC%9B%90%EC%8B%9C %ED%8C%94%EB%8B%AC%EA%B5%AC %EC%9D%B8%EA%B3%84%EB%8F%99 1037-3" xr:uid="{8F011BFE-8462-4F9A-A06C-0B9EDD1677EB}"/>
    <hyperlink ref="B269" r:id="rId212" display="https://map.naver.com/v5/search/%EC%88%98%EC%9B%90%EC%8B%9C %ED%8C%94%EB%8B%AC%EA%B5%AC %EC%9D%B8%EA%B3%84%EB%8F%99 1037-3" xr:uid="{73389630-77CB-49AA-8822-308C44D0BE5C}"/>
    <hyperlink ref="B270" r:id="rId213" display="https://map.naver.com/v5/search/%EC%88%98%EC%9B%90%EC%8B%9C %ED%8C%94%EB%8B%AC%EA%B5%AC %EC%9D%B8%EA%B3%84%EB%8F%99 1119" xr:uid="{FFEDCAC0-A3BA-4226-99A2-DC2123CBAEA7}"/>
    <hyperlink ref="B271" r:id="rId214" display="https://map.naver.com/v5/search/%EA%B3%A0%EC%96%91%EC%8B%9C %EB%8D%95%EC%96%91%EA%B5%AC %ED%99%94%EC%8B%A0%EB%A1%9C 267" xr:uid="{D3CE24BB-C9BB-4AC8-8E23-BC5EE56AE4B3}"/>
    <hyperlink ref="B272" r:id="rId215" display="https://map.naver.com/v5/search/%EA%B3%A0%EC%96%91%EC%8B%9C %EB%8D%95%EC%96%91%EA%B5%AC %ED%99%94%EC%A0%95%EB%8F%99 986-9" xr:uid="{55B8293C-23B8-462A-8EC7-5DE656430CA9}"/>
    <hyperlink ref="B273" r:id="rId216" display="https://map.naver.com/v5/search/%EC%9A%A9%EC%9D%B8%EC%8B%9C %EC%88%98%EC%A7%80%EA%B5%AC %EC%83%81%ED%98%84%EB%8F%99 1132" xr:uid="{6608BC69-7E39-41D2-AA1E-5AD526741000}"/>
    <hyperlink ref="B274" r:id="rId217" display="https://map.naver.com/v5/search/%EC%9A%A9%EC%9D%B8%EC%8B%9C %EC%88%98%EC%A7%80%EA%B5%AC %EC%83%81%ED%98%84%EB%8F%99 1132" xr:uid="{B8C9BB22-2195-4016-9C84-6C91B3AEDA7A}"/>
    <hyperlink ref="B275" r:id="rId218" display="https://map.naver.com/v5/search/%EC%9A%A9%EC%9D%B8%EC%8B%9C %EC%88%98%EC%A7%80%EA%B5%AC %EC%83%81%ED%98%84%EB%8F%99 255" xr:uid="{3E350D29-EF0B-4891-B515-501D36DE7021}"/>
    <hyperlink ref="B276" r:id="rId219" display="https://map.naver.com/v5/search/%EC%9A%A9%EC%9D%B8%EC%8B%9C %EC%88%98%EC%A7%80%EA%B5%AC %EC%A3%BD%EC%A0%84%EB%8F%99 452-6" xr:uid="{0374F549-FE72-4B5E-8A00-CCDC438718A2}"/>
    <hyperlink ref="B277" r:id="rId220" display="https://map.naver.com/v5/search/%EC%9A%A9%EC%9D%B8%EC%8B%9C %EA%B8%B0%ED%9D%A5%EA%B5%AC %EB%B3%B4%EC%A0%95%EB%8F%99 1207-1" xr:uid="{A111102C-37B3-4421-A7E1-E69161175221}"/>
    <hyperlink ref="B278" r:id="rId221" display="https://map.naver.com/v5/search/%EC%9A%A9%EC%9D%B8%EC%8B%9C %EC%88%98%EC%A7%80%EA%B5%AC %EB%8F%99%EC%B2%9C%EB%8F%99 873" xr:uid="{7C73EF94-A77D-44AB-BF8B-26AFC0F05B4C}"/>
    <hyperlink ref="B279" r:id="rId222" display="https://map.naver.com/v5/search/%EC%86%A1%ED%8C%8C%EA%B5%AC %EC%86%A1%ED%8C%8C%EB%8F%99 84-1" xr:uid="{DE9DE88E-44F6-49BB-8AA4-B9F674D67E61}"/>
    <hyperlink ref="B280" r:id="rId223" display="https://map.naver.com/v5/search/%EC%84%9C%EC%B4%88%EA%B5%AC %EC%84%9C%EC%B4%88%EB%8F%99 1557-11" xr:uid="{1A596283-9D84-4E94-84A8-BC47AA8A1F8D}"/>
    <hyperlink ref="B281" r:id="rId224" display="https://map.naver.com/v5/search/%EC%84%9C%EC%B4%88%EA%B5%AC %EC%84%9C%EC%B4%88%EB%8F%99 1552-6" xr:uid="{301294DB-84A5-476C-905E-5C6AFCF40AA6}"/>
    <hyperlink ref="B282" r:id="rId225" display="https://map.naver.com/v5/search/%EC%84%9C%EC%B4%88%EA%B5%AC %EC%84%9C%EC%B4%88%EB%8F%99 1557-22" xr:uid="{99073AE4-8CB8-4A10-A409-E70FE91E7FCE}"/>
    <hyperlink ref="B283" r:id="rId226" display="https://map.naver.com/v5/search/%EC%84%9C%EC%B4%88%EA%B5%AC %EC%84%9C%EC%B4%88%EB%8F%99 1567-9" xr:uid="{9738BCC9-9A90-4CFA-B73F-00D61B410F50}"/>
    <hyperlink ref="B284" r:id="rId227" display="https://map.naver.com/v5/search/%EC%84%9C%EC%B4%88%EA%B5%AC %EC%84%9C%EC%B4%88%EB%8F%99 1567-10" xr:uid="{BF36ED15-963C-4F05-9331-9B06F7B72377}"/>
    <hyperlink ref="B285" r:id="rId228" display="https://map.naver.com/v5/search/%EC%84%9C%EC%B4%88%EA%B5%AC %EC%84%9C%EC%B4%88%EB%8F%99 1567-13" xr:uid="{AB5BC5F4-E78F-4094-A522-E6CFA060FAB6}"/>
    <hyperlink ref="B286" r:id="rId229" display="https://map.naver.com/v5/search/%EC%84%9C%EC%B4%88%EA%B5%AC %EC%84%9C%EC%B4%88%EB%8F%99 1573-1" xr:uid="{7AA459A6-2858-45B1-8448-2A615DDC5B0B}"/>
    <hyperlink ref="B287" r:id="rId230" display="https://map.naver.com/v5/search/%EC%84%9C%EC%B4%88%EA%B5%AC %EC%84%9C%EC%B4%88%EB%8F%99 1571-10" xr:uid="{2FBCAFC1-F889-4994-80F8-2BBDD15244F4}"/>
    <hyperlink ref="B288" r:id="rId231" display="https://map.naver.com/v5/search/%EC%84%9C%EC%B4%88%EA%B5%AC %EC%84%9C%EC%B4%88%EB%8F%99 1457-2" xr:uid="{6C0890D4-5580-4A3C-B1EB-35AA948439C1}"/>
    <hyperlink ref="B289" r:id="rId232" display="https://map.naver.com/v5/search/%EC%84%9C%EC%B4%88%EA%B5%AC %EC%84%9C%EC%B4%88%EB%8F%99 1457-2" xr:uid="{F0637113-BBDC-449A-AB9C-BC4093635277}"/>
    <hyperlink ref="B290" r:id="rId233" display="https://map.naver.com/v5/search/%EC%84%9C%EC%B4%88%EA%B5%AC %EC%84%9C%EC%B4%88%EB%8F%99 1457-2" xr:uid="{D39D69B3-275E-44D6-B376-D09A9AD34820}"/>
    <hyperlink ref="B291" r:id="rId234" display="https://map.naver.com/v5/search/%EC%9D%B8%EC%B2%9C%EA%B4%91%EC%97%AD%EC%8B%9C %EB%AF%B8%EC%B6%94%ED%99%80%EA%B5%AC %EC%A3%BC%EC%95%88%EB%8F%99 505-5" xr:uid="{76FB3D09-C719-45FF-8F08-BA6BC6FCE10B}"/>
    <hyperlink ref="B292" r:id="rId235" display="https://map.naver.com/v5/search/%EC%84%9C%EC%B4%88%EA%B5%AC %EC%84%9C%EC%B4%88%EB%8F%99 1553-15" xr:uid="{5648FCB8-74BE-4B23-8D39-70C8B4125A85}"/>
    <hyperlink ref="B293" r:id="rId236" display="https://map.naver.com/v5/search/%EC%84%9C%EC%B4%88%EA%B5%AC %EC%84%9C%EC%B4%88%EB%8F%99 1567-8" xr:uid="{B759C5FD-8F6A-46A8-A06F-14FA9167BAB3}"/>
    <hyperlink ref="B294" r:id="rId237" display="https://map.naver.com/v5/search/%EC%9D%B8%EC%B2%9C%EA%B4%91%EC%97%AD%EC%8B%9C %EC%97%B0%EC%88%98%EA%B5%AC %EC%86%A1%EB%8F%84%EB%8F%99 23-4" xr:uid="{CCD1BBD9-5B85-40B8-B8A6-84B15998FCD5}"/>
    <hyperlink ref="B295" r:id="rId238" display="https://map.naver.com/v5/search/%EC%9D%B8%EC%B2%9C%EA%B4%91%EC%97%AD%EC%8B%9C %EC%97%B0%EC%88%98%EA%B5%AC %EC%86%A1%EB%8F%84%EB%8F%99 23-4" xr:uid="{536674E1-ADE1-4E85-89E9-454E1CD24D90}"/>
    <hyperlink ref="B296" r:id="rId239" display="https://map.naver.com/v5/search/%EC%9D%B8%EC%B2%9C%EA%B4%91%EC%97%AD%EC%8B%9C %EC%A4%91%EA%B5%AC %EC%A4%91%EC%95%99%EB%8F%993%EA%B0%80 4-8" xr:uid="{2C765D14-B3F8-4F73-9ADE-DDECA598F5A6}"/>
    <hyperlink ref="B300" r:id="rId240" display="https://map.naver.com/v5/search/%EC%9D%B8%EC%B2%9C %EC%97%B0%EC%88%98%EA%B5%AC %EC%86%A1%EB%8F%84%EB%8F%99 22-22" xr:uid="{BFFAA75F-134A-442D-8736-CF4A68AD0864}"/>
    <hyperlink ref="B301" r:id="rId241" display="https://map.naver.com/v5/search/%EA%B0%95%EB%82%A8%EA%B5%AC %EB%85%BC%ED%98%84%EB%8F%99 236-6" xr:uid="{6AEA3187-C52D-4572-B972-4B67C36ECA36}"/>
    <hyperlink ref="B302" r:id="rId242" display="https://map.naver.com/v5/search/%EA%B0%95%EB%82%A8%EA%B5%AC %EB%85%BC%ED%98%84%EB%8F%99 243-6" xr:uid="{F2D74A1A-73F8-4166-9F79-B0BEAFB9B435}"/>
    <hyperlink ref="B303" r:id="rId243" display="https://map.naver.com/v5/search/%EC%8B%9C%ED%9D%A5%EC%8B%9C %EB%8C%80%EC%95%BC%EB%8F%99 290-5" xr:uid="{28DD818E-67AE-46F6-998A-5510FB27CC50}"/>
    <hyperlink ref="B304" r:id="rId244" display="https://map.naver.com/v5/search/%EC%8B%9C%ED%9D%A5%EC%8B%9C %EB%8C%80%EC%95%BC%EB%8F%99 290-5" xr:uid="{DBAB6767-2CA9-42BD-A2F8-CD6451010FAE}"/>
    <hyperlink ref="B305" r:id="rId245" display="https://map.naver.com/v5/search/%EA%B0%95%EB%82%A8%EA%B5%AC %EC%B2%AD%EB%8B%B4%EB%8F%99 20-12" xr:uid="{2BC3E822-049F-468A-9F8B-92A85F66F76B}"/>
    <hyperlink ref="B306" r:id="rId246" display="https://map.naver.com/v5/search/%EA%B0%95%EB%82%A8%EA%B5%AC %EC%B2%AD%EB%8B%B4%EB%8F%99 3-15" xr:uid="{E6E93E73-EB4F-4DD8-A6A6-5B2E1E70D146}"/>
    <hyperlink ref="B307" r:id="rId247" display="https://map.naver.com/v5/search/%EA%B0%95%EB%82%A8%EA%B5%AC %EC%B2%AD%EB%8B%B4%EB%8F%99 1-9" xr:uid="{D62243DE-C6A4-4326-BADF-64E8DD7C4053}"/>
    <hyperlink ref="B308" r:id="rId248" display="https://map.naver.com/v5/search/%EA%B0%95%EB%82%A8%EA%B5%AC %EC%B2%AD%EB%8B%B4%EB%8F%99 22-1" xr:uid="{06557DF5-7C15-4EA6-9DB3-9A7897EB9039}"/>
    <hyperlink ref="B309" r:id="rId249" display="https://map.naver.com/v5/search/%EA%B0%95%EB%82%A8%EA%B5%AC %EC%B2%AD%EB%8B%B4%EB%8F%99 5-3" xr:uid="{0F6B41F6-095F-4007-B648-795D4059476C}"/>
    <hyperlink ref="B310" r:id="rId250" display="https://map.naver.com/v5/search/%EA%B0%95%EB%82%A8%EA%B5%AC %EC%B2%AD%EB%8B%B4%EB%8F%99 1-14" xr:uid="{0D167CEB-C802-4A22-8ACA-6B8F268C3EE2}"/>
    <hyperlink ref="B311" r:id="rId251" display="https://map.naver.com/v5/search/%EA%B0%95%EB%82%A8%EA%B5%AC %EC%8B%A0%EC%82%AC%EB%8F%99 517-33" xr:uid="{B9A09F3A-54FD-422A-B274-9DA189A4E609}"/>
    <hyperlink ref="B312" r:id="rId252" display="https://map.naver.com/v5/search/%EA%B0%95%EB%82%A8%EA%B5%AC %EC%8B%A0%EC%82%AC%EB%8F%99 577-10" xr:uid="{421F0434-8179-491A-AC05-B999EBE51AE6}"/>
    <hyperlink ref="B313" r:id="rId253" display="https://map.naver.com/v5/search/%EA%B0%95%EB%82%A8%EA%B5%AC %EC%8B%A0%EC%82%AC%EB%8F%99 576-5" xr:uid="{5CB3EF54-E694-416C-AD57-530B87F371D3}"/>
    <hyperlink ref="B314" r:id="rId254" display="https://map.naver.com/v5/search/%EA%B0%95%EB%82%A8%EA%B5%AC %EC%8B%A0%EC%82%AC%EB%8F%99 651-5" xr:uid="{6B39EF38-D060-4E68-BCEA-5E76C9FB1D3B}"/>
    <hyperlink ref="B315" r:id="rId255" display="https://map.naver.com/v5/search/%EA%B0%95%EB%82%A8%EA%B5%AC %EC%8B%A0%EC%82%AC%EB%8F%99 512-20" xr:uid="{F3502B67-DC59-4197-9B4F-2B83CF2F0BFA}"/>
    <hyperlink ref="B316" r:id="rId256" display="https://map.naver.com/v5/search/%EA%B0%95%EB%82%A8%EA%B5%AC %EB%85%BC%ED%98%84%EB%8F%99 95-22" xr:uid="{D5FA415A-24F6-484B-BF8A-914E6DFA2E10}"/>
    <hyperlink ref="B317" r:id="rId257" display="https://map.naver.com/v5/search/%EA%B0%95%EB%82%A8%EA%B5%AC %EC%B2%AD%EB%8B%B4%EB%8F%99 38-18" xr:uid="{CD7E945C-C4B6-4949-8671-07536DC5C72F}"/>
    <hyperlink ref="B318" r:id="rId258" display="https://map.naver.com/v5/search/%EC%9D%B8%EC%B2%9C%EA%B4%91%EC%97%AD%EC%8B%9C %EC%97%B0%EC%88%98%EA%B5%AC %EC%97%B0%EC%88%98%EB%8F%99 598-12" xr:uid="{4CCA50BF-F211-4A07-8738-73AB861B7F60}"/>
    <hyperlink ref="B319" r:id="rId259" display="https://map.naver.com/v5/search/%EA%B0%95%EB%82%A8%EA%B5%AC %EC%8B%A0%EC%82%AC%EB%8F%99 517-12" xr:uid="{8A6434B1-9800-43F1-837C-E5FD9BE8DBE0}"/>
    <hyperlink ref="B320" r:id="rId260" display="https://map.naver.com/v5/search/%EA%B0%95%EB%82%A8%EA%B5%AC %EC%8B%A0%EC%82%AC%EB%8F%99 615" xr:uid="{7F6912AF-A8DF-4A04-8D9C-E5B6BE882954}"/>
    <hyperlink ref="B321" r:id="rId261" display="https://map.naver.com/v5/search/%EA%B0%95%EB%82%A8%EA%B5%AC %EC%8B%A0%EC%82%AC%EB%8F%99 539-2" xr:uid="{24A61467-0E8D-4C73-B40E-E9DD8F385A9C}"/>
    <hyperlink ref="B322" r:id="rId262" display="https://map.naver.com/v5/search/%EA%B0%95%EB%82%A8%EA%B5%AC %EC%B2%AD%EB%8B%B4%EB%8F%99 1-2" xr:uid="{EB054D97-5A84-4068-8E24-DC3F38638AF2}"/>
    <hyperlink ref="B323" r:id="rId263" display="https://map.naver.com/v5/search/%EC%95%88%EC%82%B0%EC%8B%9C %EB%8B%A8%EC%9B%90%EA%B5%AC %EA%B3%A0%EC%9E%94%EB%8F%99 537-6" xr:uid="{8E4B13F6-6C8D-4E0B-ABFA-6CF22459BFBC}"/>
    <hyperlink ref="B324" r:id="rId264" display="https://map.naver.com/v5/search/%EA%B0%95%EB%82%A8%EA%B5%AC %EB%85%BC%ED%98%84%EB%8F%99 241-16" xr:uid="{76420F55-8F3E-47DC-8679-C4ACC66A1218}"/>
    <hyperlink ref="B325" r:id="rId265" display="https://map.naver.com/v5/search/%EC%95%88%EC%82%B0%EC%8B%9C %EB%8B%A8%EC%9B%90%EA%B5%AC %EC%84%A0%EB%B6%80%EB%8F%99 1077-15" xr:uid="{37AE6BCC-2904-47DB-BA4D-E599C8A55D59}"/>
    <hyperlink ref="B326" r:id="rId266" display="https://map.naver.com/v5/search/%EC%95%88%EC%82%B0%EC%8B%9C %EB%8B%A8%EC%9B%90%EA%B5%AC %EC%84%A0%EB%B6%80%EB%8F%99 534-2" xr:uid="{0CE90FA8-BD6E-44B9-A1BC-306708CF6DB9}"/>
    <hyperlink ref="B327" r:id="rId267" display="https://map.naver.com/v5/search/%EC%9D%B8%EC%B2%9C%EA%B4%91%EC%97%AD%EC%8B%9C %EB%82%A8%EB%8F%99%EA%B5%AC %EA%B5%AC%EC%9B%94%EB%8F%99 1142-20" xr:uid="{F07B1DDE-FB94-498B-A24E-484CAC92DF12}"/>
    <hyperlink ref="B330" r:id="rId268" display="https://map.naver.com/v5/search/%EC%9D%B8%EC%B2%9C%EA%B4%91%EC%97%AD%EC%8B%9C %EB%82%A8%EB%8F%99%EA%B5%AC %EA%B5%AC%EC%9B%94%EB%8F%99 1126-1" xr:uid="{3269FFEC-0AFF-4465-A105-E4083539F55A}"/>
    <hyperlink ref="B331" r:id="rId269" display="https://map.naver.com/v5/search/%EC%9D%B8%EC%B2%9C%EA%B4%91%EC%97%AD%EC%8B%9C %EC%84%9C%EA%B5%AC %EA%B0%80%EC%A0%95%EB%8F%99 492" xr:uid="{C0F961FE-7438-4F3C-881A-457BA1C31282}"/>
    <hyperlink ref="B332" r:id="rId270" display="https://map.naver.com/v5/search/%EC%9D%B8%EC%B2%9C%EA%B4%91%EC%97%AD%EC%8B%9C %EC%84%9C%EA%B5%AC %EA%B0%80%EC%A0%95%EB%8F%99 617-3" xr:uid="{5A27FF65-1B80-447D-AC5A-E2A91C6E126B}"/>
    <hyperlink ref="B333" r:id="rId271" display="https://map.naver.com/v5/search/%EC%9D%B8%EC%B2%9C%EA%B4%91%EC%97%AD%EC%8B%9C %EC%84%9C%EA%B5%AC %EA%B0%80%EC%A0%95%EB%8F%99 611-23" xr:uid="{DA731CBD-E950-4BC1-BB50-4A726EFCA676}"/>
    <hyperlink ref="B334" r:id="rId272" display="https://map.naver.com/v5/search/%EC%9D%B8%EC%B2%9C%EA%B4%91%EC%97%AD%EC%8B%9C %EC%84%9C%EA%B5%AC %EA%B0%80%EC%A0%95%EB%8F%99 645-6" xr:uid="{7BDB3D37-040A-4C7D-8697-2540ED10356D}"/>
    <hyperlink ref="B335" r:id="rId273" display="https://map.naver.com/v5/search/%EC%9D%B8%EC%B2%9C%EA%B4%91%EC%97%AD%EC%8B%9C %EC%84%9C%EA%B5%AC %EA%B0%80%EC%A0%95%EB%8F%99 611-6" xr:uid="{82E4305F-73FA-4C34-ADA8-01B77B19ECD8}"/>
    <hyperlink ref="B336" r:id="rId274" display="https://map.naver.com/v5/search/%EC%84%9C%EC%9A%B8 %EC%98%81%EB%93%B1%ED%8F%AC%EA%B5%AC %EB%8B%B9%EC%82%B0%EB%8F%996%EA%B0%80 3-5" xr:uid="{0A74C565-FD9C-437C-A999-A94AC8B943EB}"/>
    <hyperlink ref="B337" r:id="rId275" display="https://map.naver.com/v5/search/%EC%9D%B8%EC%B2%9C%EA%B4%91%EC%97%AD%EC%8B%9C %EC%97%B0%EC%88%98%EA%B5%AC %EC%86%A1%EB%8F%84%EB%8F%99 21-34" xr:uid="{B46F712A-8413-4C14-9B10-57B12689D204}"/>
    <hyperlink ref="B338" r:id="rId276" display="https://map.naver.com/v5/search/%EC%9D%B8%EC%B2%9C%EA%B4%91%EC%97%AD%EC%8B%9C %EB%82%A8%EB%8F%99%EA%B5%AC %EA%B5%AC%EC%9B%94%EB%8F%99 1132-1" xr:uid="{9534CA65-CF98-494C-8987-EB8261374134}"/>
    <hyperlink ref="B339" r:id="rId277" display="https://map.naver.com/v5/search/%EC%9D%B8%EC%B2%9C%EA%B4%91%EC%97%AD%EC%8B%9C %EC%97%B0%EC%88%98%EA%B5%AC %EC%84%A0%ED%95%99%EB%8F%99 407-2" xr:uid="{15E8DDAE-7669-4F9F-9B2A-AA4BD350989A}"/>
    <hyperlink ref="B379" r:id="rId278" display="https://map.naver.com/v5/search/%EC%95%88%EC%82%B0%EC%8B%9C %EC%83%81%EB%A1%9D%EA%B5%AC %EC%9D%B4%EB%8F%99 661-4" xr:uid="{F8F0C361-C3C2-49F8-AAAE-8AB06DF3674E}"/>
    <hyperlink ref="B378" r:id="rId279" display="https://map.naver.com/v5/search/%EC%86%A1%ED%8C%8C%EA%B5%AC %EC%9E%A5%EC%A7%80%EB%8F%99 883" xr:uid="{88BB3812-1E40-46DD-BFFC-61BEA886325F}"/>
    <hyperlink ref="B377" r:id="rId280" display="https://map.naver.com/v5/search/%EC%84%B1%EB%8F%99%EA%B5%AC %EC%84%B1%EC%88%98%EB%8F%992%EA%B0%80 289-231" xr:uid="{B1ADFA76-57B5-4BCB-A4BA-A419C0BD8D8C}"/>
    <hyperlink ref="B376" r:id="rId281" display="https://map.naver.com/v5/search/%EC%84%B1%EB%8F%99%EA%B5%AC %EC%84%B1%EC%88%98%EB%8F%992%EA%B0%80 289-243" xr:uid="{E3DEDDC9-0DB8-4C2B-906A-476FF8A510E1}"/>
    <hyperlink ref="B375" r:id="rId282" display="https://map.naver.com/v5/search/%EC%84%B1%EB%8F%99%EA%B5%AC %EC%84%B1%EC%88%98%EB%8F%992%EA%B0%80 289-96" xr:uid="{BF4E98ED-F18A-403A-9A86-3A5AD1059C38}"/>
    <hyperlink ref="B374" r:id="rId283" display="https://map.naver.com/v5/search/%EA%B0%95%EB%82%A8%EA%B5%AC %EC%82%BC%EC%84%B1%EB%8F%99 140-6" xr:uid="{B782BB41-4977-4FBF-9A6A-7A3794DED51D}"/>
    <hyperlink ref="B373" r:id="rId284" display="https://map.naver.com/v5/search/%EA%B0%95%EB%82%A8%EA%B5%AC %EC%97%AD%EC%82%BC%EB%8F%99 696-5" xr:uid="{2473773A-BF1D-4F53-8527-9FF89B4B701B}"/>
    <hyperlink ref="B372" r:id="rId285" display="https://map.naver.com/v5/search/%EA%B0%95%EB%82%A8%EA%B5%AC %EC%97%AD%EC%82%BC%EB%8F%99 697-45" xr:uid="{55471129-5F2F-4702-B915-DF6159BB82A6}"/>
    <hyperlink ref="B371" r:id="rId286" display="https://map.naver.com/v5/search/%EA%B0%95%EB%82%A8%EA%B5%AC %EC%97%AD%EC%82%BC%EB%8F%99 788-12" xr:uid="{9E3C1C03-1D43-4EC0-BE30-EBEF703E8CF6}"/>
    <hyperlink ref="B370" r:id="rId287" display="https://map.naver.com/v5/search/%EA%B4%91%EC%A7%84%EA%B5%AC %EC%9E%90%EC%96%91%EB%8F%99 250-10" xr:uid="{73C8ED30-5582-45A8-8B3F-EEBD05042B3C}"/>
    <hyperlink ref="B369" r:id="rId288" display="https://map.naver.com/v5/search/%EC%9D%B8%EC%B2%9C%EA%B4%91%EC%97%AD%EC%8B%9C %EB%82%A8%EB%8F%99%EA%B5%AC %EC%84%9C%EC%B0%BD%EB%8F%99 708-4" xr:uid="{4C860DBA-CCDD-4066-8AE3-3353E7C3FB71}"/>
    <hyperlink ref="B368" r:id="rId289" display="https://map.naver.com/v5/search/%EA%B0%95%EB%82%A8%EA%B5%AC %EB%8F%84%EA%B3%A1%EB%8F%99 412-7" xr:uid="{C2F66199-6F22-4F5A-9046-36A523431C99}"/>
    <hyperlink ref="B367" r:id="rId290" display="https://map.naver.com/v5/search/%EC%9D%B8%EC%B2%9C%EA%B4%91%EC%97%AD%EC%8B%9C %EB%82%A8%EB%8F%99%EA%B5%AC %EC%84%9C%EC%B0%BD%EB%8F%99 707-3" xr:uid="{853FC28F-9619-4D7B-9504-A9E28B9DF9FD}"/>
    <hyperlink ref="B366" r:id="rId291" display="https://map.naver.com/v5/search/%EC%9D%B8%EC%B2%9C%EA%B4%91%EC%97%AD%EC%8B%9C %EB%82%A8%EB%8F%99%EA%B5%AC %EC%84%9C%EC%B0%BD%EB%8F%99 707-3" xr:uid="{F8D475FE-3047-4E54-9BA0-62A069ECB948}"/>
    <hyperlink ref="B365" r:id="rId292" display="https://map.naver.com/v5/search/%EC%9D%B8%EC%B2%9C%EA%B4%91%EC%97%AD%EC%8B%9C %EB%82%A8%EB%8F%99%EA%B5%AC %EC%84%9C%EC%B0%BD%EB%8F%99 708-3" xr:uid="{FC592E9B-E999-4064-9EE8-EC6460782A46}"/>
    <hyperlink ref="B364" r:id="rId293" display="https://map.naver.com/v5/search/%EC%9D%B8%EC%B2%9C%EA%B4%91%EC%97%AD%EC%8B%9C %EB%82%A8%EB%8F%99%EA%B5%AC %EC%84%9C%EC%B0%BD%EB%8F%99 708-2" xr:uid="{AF39E46D-B039-4B4A-891E-D26455675580}"/>
    <hyperlink ref="B363" r:id="rId294" display="https://map.naver.com/v5/search/%EC%9D%B8%EC%B2%9C%EA%B4%91%EC%97%AD%EC%8B%9C %EB%82%A8%EB%8F%99%EA%B5%AC %EC%84%9C%EC%B0%BD%EB%8F%99 708-2" xr:uid="{F5CA1743-A9FC-4FFC-854A-171C79A3C450}"/>
    <hyperlink ref="B362" r:id="rId295" display="https://map.naver.com/v5/search/%EC%9D%B8%EC%B2%9C%EA%B4%91%EC%97%AD%EC%8B%9C %EB%82%A8%EB%8F%99%EA%B5%AC %EC%84%9C%EC%B0%BD%EB%8F%99 668" xr:uid="{22D37247-13C2-445F-A2AD-C3070FAA1E06}"/>
    <hyperlink ref="B361" r:id="rId296" display="https://map.naver.com/v5/search/%EC%86%A1%ED%8C%8C%EA%B5%AC %EC%9E%A5%EC%A7%80%EB%8F%99 883" xr:uid="{D15278A1-3A34-4E14-B646-273312777D51}"/>
    <hyperlink ref="B360" r:id="rId297" display="https://map.naver.com/v5/search/%EA%B0%95%EB%82%A8%EA%B5%AC %EC%B2%AD%EB%8B%B4%EB%8F%99 1-2" xr:uid="{CF4308F2-50DE-47E1-9AB8-6DA94CF91DAF}"/>
    <hyperlink ref="B359" r:id="rId298" display="https://map.naver.com/v5/search/%EA%B0%95%EB%82%A8%EA%B5%AC %EC%B2%AD%EB%8B%B4%EB%8F%99 21-7" xr:uid="{08DEA568-B987-42FF-BDE6-7C407D5DF6DB}"/>
    <hyperlink ref="B358" r:id="rId299" display="https://map.naver.com/v5/search/%EA%B0%95%EB%82%A8%EA%B5%AC %EB%8F%84%EA%B3%A1%EB%8F%99 942-1" xr:uid="{B22DBF95-B851-4171-91DF-C54F99941080}"/>
    <hyperlink ref="B357" r:id="rId300" display="https://map.naver.com/v5/search/%EA%B0%95%EB%82%A8%EA%B5%AC %EC%97%AD%EC%82%BC%EB%8F%99 790-7" xr:uid="{2649AC45-4ED1-4CCB-9283-3DB0408026D3}"/>
    <hyperlink ref="B356" r:id="rId301" display="https://map.naver.com/v5/search/%EC%86%A1%ED%8C%8C%EA%B5%AC %EC%9E%A5%EC%A7%80%EB%8F%99 883" xr:uid="{5917D69A-A6EB-4D54-99A9-F3A3BE9A301D}"/>
    <hyperlink ref="B355" r:id="rId302" display="https://map.naver.com/v5/search/%EA%B0%95%EB%82%A8%EA%B5%AC %EC%97%AD%EC%82%BC%EB%8F%99 785-22" xr:uid="{309C03C2-4FCE-4147-922E-F6D3FB469834}"/>
    <hyperlink ref="B354" r:id="rId303" display="https://map.naver.com/v5/search/%EC%84%9C%EC%B4%88%EA%B5%AC %EC%84%9C%EC%B4%88%EB%8F%99 1574-15" xr:uid="{FA351CE2-F867-4AD4-99F2-F48EE8C64F8F}"/>
    <hyperlink ref="B353" r:id="rId304" display="https://map.naver.com/v5/search/%EC%A4%91%EB%9E%91%EA%B5%AC %EB%AC%B5%EB%8F%99 171-4" xr:uid="{A86019C1-D153-49F1-B62D-4D38562E7BD5}"/>
    <hyperlink ref="B352" r:id="rId305" display="https://map.naver.com/v5/search/%ED%95%98%EB%82%A8%EC%8B%9C %ED%95%99%EC%95%94%EB%8F%99 661" xr:uid="{F9B7E7E9-7E39-461E-A67E-259FF6F98AE6}"/>
    <hyperlink ref="B351" r:id="rId306" display="https://map.naver.com/v5/search/%EC%84%B1%EB%82%A8%EC%8B%9C %EC%88%98%EC%A0%95%EA%B5%AC %EC%9E%A5%EC%A7%80%EB%8F%99 883" xr:uid="{BBBB37F9-7C21-493D-8CBE-28BD91ACA1D1}"/>
    <hyperlink ref="B350" r:id="rId307" display="https://map.naver.com/v5/search/%EC%84%B1%EB%82%A8%EC%8B%9C %EC%88%98%EC%A0%95%EA%B5%AC %EC%B0%BD%EA%B3%A1%EB%8F%99 509" xr:uid="{C225D315-1C18-4900-832D-3F15AEF71535}"/>
    <hyperlink ref="B349" r:id="rId308" display="https://map.naver.com/v5/search/%EC%9D%B8%EC%B2%9C%EA%B4%91%EC%97%AD%EC%8B%9C %EC%97%B0%EC%88%98%EA%B5%AC %EC%86%A1%EB%8F%84%EB%8F%99 21-34" xr:uid="{9358ED82-336C-4EF6-8177-0E101EF88B55}"/>
    <hyperlink ref="B348" r:id="rId309" display="https://map.naver.com/v5/search/%EC%84%9C%EC%9A%B8 %EC%98%81%EB%93%B1%ED%8F%AC%EA%B5%AC %EB%8B%B9%EC%82%B0%EB%8F%996%EA%B0%80 3-5" xr:uid="{89044989-641E-48FB-845A-58B54F466366}"/>
    <hyperlink ref="B347" r:id="rId310" display="https://map.naver.com/v5/search/%EC%9D%B8%EC%B2%9C%EA%B4%91%EC%97%AD%EC%8B%9C %EC%84%9C%EA%B5%AC %EA%B0%80%EC%A0%95%EB%8F%99 611-6" xr:uid="{F3C8350E-9A4F-4BA5-AF20-D694F2F7C8EA}"/>
    <hyperlink ref="B346" r:id="rId311" display="https://map.naver.com/v5/search/%EC%9D%B8%EC%B2%9C%EA%B4%91%EC%97%AD%EC%8B%9C %EC%84%9C%EA%B5%AC %EA%B0%80%EC%A0%95%EB%8F%99 645-6" xr:uid="{AE3E06D5-B8BE-45C4-8F2F-41B1953962D4}"/>
    <hyperlink ref="B345" r:id="rId312" display="https://map.naver.com/v5/search/%EC%9D%B8%EC%B2%9C%EA%B4%91%EC%97%AD%EC%8B%9C %EC%84%9C%EA%B5%AC %EA%B0%80%EC%A0%95%EB%8F%99 611-23" xr:uid="{4FF662A9-A723-4A1B-9FBE-796E38F64D94}"/>
    <hyperlink ref="B344" r:id="rId313" display="https://map.naver.com/v5/search/%EC%9D%B8%EC%B2%9C%EA%B4%91%EC%97%AD%EC%8B%9C %EC%84%9C%EA%B5%AC %EA%B0%80%EC%A0%95%EB%8F%99 617-3" xr:uid="{F54778D3-1521-4B15-B25A-7D28F0752240}"/>
    <hyperlink ref="B343" r:id="rId314" display="https://map.naver.com/v5/search/%EC%9D%B8%EC%B2%9C%EA%B4%91%EC%97%AD%EC%8B%9C %EC%84%9C%EA%B5%AC %EA%B0%80%EC%A0%95%EB%8F%99 492" xr:uid="{49C18647-AA1D-4FAE-965F-862CEFF5B3D7}"/>
    <hyperlink ref="B342" r:id="rId315" display="https://map.naver.com/v5/search/%EC%9D%B8%EC%B2%9C%EA%B4%91%EC%97%AD%EC%8B%9C %EB%82%A8%EB%8F%99%EA%B5%AC %EA%B5%AC%EC%9B%94%EB%8F%99 1126-1" xr:uid="{A3FC2A37-1C4D-4EC8-BBB1-E79014B0F1AB}"/>
    <hyperlink ref="B382" r:id="rId316" display="https://map.naver.com/v5/search/%EA%B0%95%EB%82%A8%EA%B5%AC %EC%97%AD%EC%82%BC%EB%8F%99 697-45" xr:uid="{43D6D534-7542-4191-AB2E-B59310452B38}"/>
    <hyperlink ref="B383" r:id="rId317" display="https://map.naver.com/v5/search/%EA%B0%95%EB%82%A8%EA%B5%AC %EC%97%AD%EC%82%BC%EB%8F%99 831-27" xr:uid="{3DD35AF2-CC82-4306-B64A-6BA089E93E48}"/>
    <hyperlink ref="B384" r:id="rId318" display="https://map.naver.com/v5/search/%EA%B0%95%EB%82%A8%EA%B5%AC %EC%97%AD%EC%82%BC%EB%8F%99 799-6" xr:uid="{44A2836F-9CD3-49C9-8883-D8FCA72D9611}"/>
    <hyperlink ref="B385" r:id="rId319" display="https://map.naver.com/v5/search/%EA%B0%95%EB%82%A8%EA%B5%AC %EC%97%AD%EC%82%BC%EB%8F%99 799-9" xr:uid="{A016A0DB-6E9D-4ED3-8050-786B7459F0BA}"/>
    <hyperlink ref="B386" r:id="rId320" display="https://map.naver.com/v5/search/%EA%B0%95%EB%82%A8%EA%B5%AC %EB%8C%80%EC%B9%98%EB%8F%99 894" xr:uid="{430D260C-634D-4E68-805B-215E29C70D06}"/>
    <hyperlink ref="B387" r:id="rId321" display="https://map.naver.com/v5/search/%EA%B0%95%EB%82%A8%EA%B5%AC %EB%8C%80%EC%B9%98%EB%8F%99 935" xr:uid="{989BBD4A-A1FD-47A0-A665-1DE4560DA00C}"/>
    <hyperlink ref="B388" r:id="rId322" display="https://map.naver.com/v5/search/%EC%95%88%EC%82%B0%EC%8B%9C %EC%83%81%EB%A1%9D%EA%B5%AC %EB%B3%B8%EC%98%A4%EB%8F%99 878-6" xr:uid="{B392CD4E-A5DD-4F22-8F10-2523968CC5C8}"/>
    <hyperlink ref="B389" r:id="rId323" display="https://map.naver.com/v5/search/%EA%B0%95%EB%82%A8%EA%B5%AC %EC%97%AD%EC%82%BC%EB%8F%99 830-38" xr:uid="{8FBE6954-797D-4187-80F4-2151E5F85295}"/>
    <hyperlink ref="B390" r:id="rId324" display="https://map.naver.com/v5/search/%EA%B0%95%EB%82%A8%EA%B5%AC %EC%82%BC%EC%84%B1%EB%8F%99 143-3" xr:uid="{9507F323-C7B0-4F05-8919-CEE0B1A5536A}"/>
    <hyperlink ref="B391" r:id="rId325" display="https://map.naver.com/v5/search/%EC%95%88%EC%82%B0%EC%8B%9C %EC%83%81%EB%A1%9D%EA%B5%AC %EC%9D%B4%EB%8F%99 694-1" xr:uid="{FF9A19CD-DE3B-42C5-BBD1-F2AE5332BC76}"/>
    <hyperlink ref="B392" r:id="rId326" display="https://map.naver.com/v5/search/%EC%98%81%EB%93%B1%ED%8F%AC%EA%B5%AC %EB%8B%B9%EC%82%B0%EB%8F%996%EA%B0%80 314" xr:uid="{DAD67D60-FC26-44E8-9724-4DC586F06981}"/>
    <hyperlink ref="B393" r:id="rId327" display="https://map.naver.com/v5/search/%EC%98%81%EB%93%B1%ED%8F%AC%EA%B5%AC %EC%96%91%ED%8F%89%EB%8F%994%EA%B0%80 27-4" xr:uid="{4B07FBAD-97B8-4529-8441-7CF8BA992012}"/>
    <hyperlink ref="B394" r:id="rId328" display="https://map.naver.com/v5/search/%EC%98%81%EB%93%B1%ED%8F%AC%EA%B5%AC %EB%8B%B9%EC%82%B0%EB%8F%996%EA%B0%80 341-1" xr:uid="{93AB2152-ABC6-4B72-941D-E54DD12EBA57}"/>
    <hyperlink ref="B395" r:id="rId329" display="https://map.naver.com/v5/search/%EC%98%81%EB%93%B1%ED%8F%AC%EA%B5%AC %EB%8B%B9%EC%82%B0%EB%8F%996%EA%B0%80 237" xr:uid="{051E897C-1AE2-4AB7-B071-AAABB1885E78}"/>
    <hyperlink ref="B396" r:id="rId330" display="https://map.naver.com/v5/search/%EC%98%81%EB%93%B1%ED%8F%AC%EA%B5%AC %EB%8B%B9%EC%82%B0%EB%8F%996%EA%B0%80 310" xr:uid="{C8A193DE-E11F-4DA1-B4A0-914824867ED6}"/>
    <hyperlink ref="B397" r:id="rId331" display="https://map.naver.com/v5/search/%EC%98%81%EB%93%B1%ED%8F%AC%EA%B5%AC %EB%8B%B9%EC%82%B0%EB%8F%996%EA%B0%80 312" xr:uid="{00D27392-0E97-497B-B66D-1BE535D6717B}"/>
    <hyperlink ref="B398" r:id="rId332" display="https://map.naver.com/v5/search/%EC%98%81%EB%93%B1%ED%8F%AC%EA%B5%AC %EB%8B%B9%EC%82%B0%EB%8F%995%EA%B0%80 42" xr:uid="{F0CCB612-4A3C-45B2-B1D4-B0A9DC806AD0}"/>
    <hyperlink ref="B399" r:id="rId333" display="https://map.naver.com/v5/search/%EC%98%81%EB%93%B1%ED%8F%AC%EA%B5%AC %EB%8B%B9%EC%82%B0%EB%8F%995%EA%B0%80 42" xr:uid="{0D600075-65DF-44B0-91E5-7266F413EABF}"/>
    <hyperlink ref="B400" r:id="rId334" display="https://map.naver.com/v5/search/%EC%9D%B8%EC%B2%9C%EA%B4%91%EC%97%AD%EC%8B%9C %EC%A4%91%EA%B5%AC %EC%8B%A0%ED%8F%AC%EB%8F%99 20-8" xr:uid="{57525B4C-9BF4-4C82-BE01-920FBE7934C5}"/>
    <hyperlink ref="B401" r:id="rId335" display="https://map.naver.com/v5/search/%EC%98%81%EB%93%B1%ED%8F%AC%EA%B5%AC %EC%96%91%ED%8F%89%EB%8F%994%EA%B0%80 153-6" xr:uid="{27605697-E7B1-44B1-BE37-64744A2D829F}"/>
    <hyperlink ref="B402" r:id="rId336" display="https://map.naver.com/v5/search/%EC%9D%B8%EC%B2%9C%EA%B4%91%EC%97%AD%EC%8B%9C %EB%82%A8%EB%8F%99%EA%B5%AC %EC%84%9C%EC%B0%BD%EB%8F%99 691-2" xr:uid="{BD982E27-FF31-48B3-A8AD-409E3BBC73DC}"/>
    <hyperlink ref="B405" r:id="rId337" display="https://map.naver.com/v5/search/%EA%B0%95%EB%82%A8%EA%B5%AC %EC%97%AD%EC%82%BC%EB%8F%99 838-9" xr:uid="{D56D6AD3-0F18-49E6-BB58-05508FFEA755}"/>
    <hyperlink ref="B406" r:id="rId338" display="https://map.naver.com/v5/search/%EC%98%81%EB%93%B1%ED%8F%AC%EA%B5%AC %EC%96%91%ED%8F%89%EB%8F%995%EA%B0%80 30" xr:uid="{E67FE9C4-94BC-400B-A398-29D5D62368A8}"/>
    <hyperlink ref="B407" r:id="rId339" display="https://map.naver.com/v5/search/%EC%98%81%EB%93%B1%ED%8F%AC%EA%B5%AC %EB%8B%B9%EC%82%B0%EB%8F%993%EA%B0%80 198" xr:uid="{C4884FA8-16D8-45B7-AE41-20146E12D91F}"/>
    <hyperlink ref="B408" r:id="rId340" display="https://map.naver.com/v5/search/%EC%98%81%EB%93%B1%ED%8F%AC%EA%B5%AC %EC%96%91%ED%8F%89%EB%8F%994%EA%B0%80 52-1" xr:uid="{B9EEA632-7708-4ABD-A618-5508907CAB73}"/>
    <hyperlink ref="B409" r:id="rId341" display="https://map.naver.com/v5/search/%EC%98%81%EB%93%B1%ED%8F%AC%EA%B5%AC %EB%8B%B9%EC%82%B0%EB%8F%993%EA%B0%80 223-3" xr:uid="{1DBBA075-998C-48CB-856B-B464C7C73442}"/>
    <hyperlink ref="B410" r:id="rId342" display="https://map.naver.com/v5/search/%EC%98%81%EB%93%B1%ED%8F%AC%EA%B5%AC %EB%AC%B8%EB%9E%98%EB%8F%993%EA%B0%80 82-8" xr:uid="{4585B759-E953-4C24-ACBC-5CE6891C8B37}"/>
    <hyperlink ref="B411" r:id="rId343" display="https://map.naver.com/v5/search/%EC%98%81%EB%93%B1%ED%8F%AC%EA%B5%AC %EC%98%81%EB%93%B1%ED%8F%AC%EB%8F%994%EA%B0%80 75-3" xr:uid="{D31AACE4-9228-4464-9958-7566BF349794}"/>
    <hyperlink ref="B412" r:id="rId344" display="https://map.naver.com/v5/search/%EC%A2%85%EB%A1%9C%EA%B5%AC %EC%9E%AC%EB%8F%99 104-1" xr:uid="{23C7FB36-5BA4-4F03-80A2-18C26EF1406F}"/>
    <hyperlink ref="B413" r:id="rId345" display="https://map.naver.com/v5/search/%EC%98%81%EB%93%B1%ED%8F%AC%EA%B5%AC %EC%96%91%ED%8F%89%EB%8F%995%EA%B0%80 67" xr:uid="{DEE2E379-BF4A-489B-B536-4FA81346C9A5}"/>
    <hyperlink ref="B414" r:id="rId346" display="https://map.naver.com/v5/search/%EA%B0%95%EB%82%A8%EA%B5%AC %EC%B2%AD%EB%8B%B4%EB%8F%99 76-6" xr:uid="{84E792CF-532E-4D62-8F68-ED6FC4DF287B}"/>
    <hyperlink ref="B415" r:id="rId347" display="https://map.naver.com/v5/search/%EA%B0%95%EB%82%A8%EA%B5%AC %EC%8B%A0%EC%82%AC%EB%8F%99 660-18" xr:uid="{D0A8E9B0-5BF1-41AC-8FDF-CE31B93CBCA5}"/>
    <hyperlink ref="B416" r:id="rId348" display="https://map.naver.com/v5/search/%EA%B0%95%EB%82%A8%EA%B5%AC %EC%97%AD%EC%82%BC%EB%8F%99 809-12" xr:uid="{9CC35487-ED76-4057-BAD8-CE6265BA4D88}"/>
    <hyperlink ref="B417" r:id="rId349" display="https://map.naver.com/v5/search/%EA%B0%95%EB%82%A8%EA%B5%AC %EC%97%AD%EC%82%BC%EB%8F%99 809-10" xr:uid="{F2BFB38E-D3E1-48E7-AA11-2AF5C8E1D993}"/>
    <hyperlink ref="B418" r:id="rId350" display="https://map.naver.com/v5/search/%EC%98%81%EB%93%B1%ED%8F%AC%EA%B5%AC %EB%8B%B9%EC%82%B0%EB%8F%994%EA%B0%80 1-18" xr:uid="{9B1D009E-FC2E-4CC7-A2A9-C00855F91A31}"/>
    <hyperlink ref="B419" r:id="rId351" display="https://map.naver.com/v5/search/%EC%9D%B8%EC%B2%9C%EA%B4%91%EC%97%AD%EC%8B%9C %EB%82%A8%EB%8F%99%EA%B5%AC %EB%8F%84%EB%A6%BC%EB%8F%99 672-2" xr:uid="{980E3AB9-69DC-460E-8A4A-48C031EE000E}"/>
    <hyperlink ref="B420" r:id="rId352" display="https://map.naver.com/v5/search/%EC%84%9C%EC%B4%88%EA%B5%AC %EC%84%9C%EC%B4%88%EB%8F%99 1328-11" xr:uid="{2FBC42D3-C141-4E80-8FC0-8F17715E98AC}"/>
    <hyperlink ref="B421" r:id="rId353" display="https://map.naver.com/v5/search/%EC%98%81%EB%93%B1%ED%8F%AC%EA%B5%AC %EC%98%81%EB%93%B1%ED%8F%AC%EB%8F%99 618-265" xr:uid="{90DCA967-AD74-4143-BC6D-FBD72A498D80}"/>
    <hyperlink ref="B422" r:id="rId354" display="https://map.naver.com/v5/search/%EC%98%81%EB%93%B1%ED%8F%AC%EA%B5%AC %EC%98%81%EB%93%B1%ED%8F%AC%EB%8F%99 618-195" xr:uid="{1EEB53D5-A0A6-40AD-956E-7236B18164E6}"/>
    <hyperlink ref="B423" r:id="rId355" display="https://map.naver.com/v5/search/%EC%98%81%EB%93%B1%ED%8F%AC%EA%B5%AC %EC%98%81%EB%93%B1%ED%8F%AC%EB%8F%99 618-55" xr:uid="{9DFF2930-C408-4F9F-9C96-8C5A9E2FF0DF}"/>
    <hyperlink ref="B424" r:id="rId356" display="https://map.naver.com/v5/search/%EC%98%81%EB%93%B1%ED%8F%AC%EA%B5%AC %EC%98%81%EB%93%B1%ED%8F%AC%EB%8F%993%EA%B0%802" xr:uid="{2BAF7D04-A03B-4360-B30E-E6BE591EDBE5}"/>
    <hyperlink ref="B425" r:id="rId357" display="https://map.naver.com/v5/search/%EA%B5%AC%EB%A1%9C%EA%B5%AC %EA%B3%A0%EC%B2%99%EB%8F%99 76-28" xr:uid="{06E01730-0224-447C-9CE5-3C43A76C9B3C}"/>
    <hyperlink ref="B426" r:id="rId358" display="https://map.naver.com/v5/search/%EC%98%81%EB%93%B1%ED%8F%AC%EA%B5%AC %EC%98%81%EB%93%B1%ED%8F%AC%EB%8F%993%EA%B0%8016-2" xr:uid="{CE3BBC64-E21C-41E9-92C5-6121F691EA4E}"/>
    <hyperlink ref="B427" r:id="rId359" display="https://map.naver.com/v5/search/%EC%98%81%EB%93%B1%ED%8F%AC%EA%B5%AC %EC%98%81%EB%93%B1%ED%8F%AC%EB%8F%99 618-214" xr:uid="{EA02BC37-8D9F-46B1-975A-9B7D34F9B085}"/>
    <hyperlink ref="B428" r:id="rId360" display="https://map.naver.com/v5/search/%EC%98%81%EB%93%B1%ED%8F%AC%EA%B5%AC %EC%8B%A0%EA%B8%B8%EB%8F%99 478" xr:uid="{72200ABD-ED5C-4BF5-9068-BB92F62E7713}"/>
    <hyperlink ref="B429" r:id="rId361" display="https://map.naver.com/v5/search/%EC%96%91%EC%B2%9C%EA%B5%AC %EC%8B%A0%EC%A0%95%EB%8F%99 978-19" xr:uid="{1D1592F1-44A1-4E4C-851F-B31FFBD8974A}"/>
    <hyperlink ref="B430" r:id="rId362" display="https://map.naver.com/v5/search/%EC%96%91%EC%B2%9C%EA%B5%AC %EC%8B%A0%EC%A0%95%EB%8F%99 1006-2" xr:uid="{55B43CD6-850A-4911-BFBB-97E63A79A82F}"/>
    <hyperlink ref="B431" r:id="rId363" display="https://map.naver.com/v5/search/%EA%B5%B0%ED%8F%AC%EC%8B%9C %EC%82%B0%EB%B3%B8%EB%8F%99 1099-4" xr:uid="{A830CBB5-ED2F-448F-B06A-599D4818E059}"/>
    <hyperlink ref="B432" r:id="rId364" display="https://map.naver.com/v5/search/%EC%95%88%EC%82%B0%EC%8B%9C %EC%83%81%EB%A1%9D%EA%B5%AC %EC%82%AC%EB%8F%99 1556-1" xr:uid="{EA04E5DC-A7A5-4B79-8049-14C3E5DD5636}"/>
    <hyperlink ref="B433" r:id="rId365" display="https://map.naver.com/v5/search/%EC%95%88%EC%82%B0%EC%8B%9C %EC%83%81%EB%A1%9D%EA%B5%AC %EB%B3%B8%EC%98%A4%EB%8F%99 880-11" xr:uid="{79AEB588-08D9-4151-AC21-28BCD0C38967}"/>
    <hyperlink ref="B434" r:id="rId366" display="https://map.naver.com/v5/search/%EB%A7%88%ED%8F%AC%EA%B5%AC %EA%B3%B5%EB%8D%95%EB%8F%99 249-16" xr:uid="{3852A67E-F08D-4389-AD20-D1A9BCC4EA84}"/>
    <hyperlink ref="B435" r:id="rId367" display="https://map.naver.com/v5/search/%EC%95%88%EC%82%B0%EC%8B%9C %EC%83%81%EB%A1%9D%EA%B5%AC %EC%82%AC%EB%8F%99 1191" xr:uid="{9043A4A3-9594-44F2-9A8F-67F4F45AD8BA}"/>
    <hyperlink ref="B436" r:id="rId368" display="https://map.naver.com/v5/search/%EC%95%88%EC%82%B0%EC%8B%9C %EC%83%81%EB%A1%9D%EA%B5%AC %EC%82%AC%EB%8F%99 1524-1" xr:uid="{9C98BD9F-A2B8-4C7F-AF33-3938326E952C}"/>
    <hyperlink ref="B437" r:id="rId369" display="https://map.naver.com/v5/search/%EC%95%88%EC%82%B0%EC%8B%9C %EC%83%81%EB%A1%9D%EA%B5%AC %EC%82%AC%EB%8F%99 1304-8" xr:uid="{CB3E5C67-49CB-49D0-B8DC-6F58E8A1DDD6}"/>
    <hyperlink ref="B438" r:id="rId370" display="https://map.naver.com/v5/search/%EC%95%88%EC%82%B0%EC%8B%9C %EC%83%81%EB%A1%9D%EA%B5%AC %EC%82%AC%EB%8F%99 1304-6" xr:uid="{1FADE0C9-9336-42E1-AF1F-57B443EA6FC1}"/>
    <hyperlink ref="B439" r:id="rId371" display="https://map.naver.com/v5/search/%EB%A7%88%ED%8F%AC%EA%B5%AC %EC%8B%A0%EC%88%98%EB%8F%99 91-15" xr:uid="{30859797-3178-43C1-B9BC-CA0EC852942A}"/>
    <hyperlink ref="B440" r:id="rId372" display="https://map.naver.com/v5/search/%EC%84%9C%EB%8C%80%EB%AC%B8%EA%B5%AC %EB%8C%80%ED%98%84%EB%8F%99 40-13" xr:uid="{DEA4C117-BF21-4C1F-9D52-18188BA45A4D}"/>
    <hyperlink ref="B441" r:id="rId373" display="https://map.naver.com/v5/search/%EC%9D%B8%EC%B2%9C%EA%B4%91%EC%97%AD%EC%8B%9C %EC%84%9C%EA%B5%AC 184-3" xr:uid="{1B10F085-705F-4D2D-8B91-BC0A736472C8}"/>
    <hyperlink ref="B442" r:id="rId374" display="https://map.naver.com/v5/search/%EC%9D%B8%EC%B2%9C%EA%B4%91%EC%97%AD%EC%8B%9C %EC%84%9C%EA%B5%AC %EA%B0%80%EC%A0%95%EB%8F%99 616-3" xr:uid="{F7067801-1B38-4A32-A463-B7381F12E350}"/>
    <hyperlink ref="B443" r:id="rId375" display="https://map.naver.com/v5/search/%EC%9D%B8%EC%B2%9C%EA%B4%91%EC%97%AD%EC%8B%9C %EC%84%9C%EA%B5%AC %EA%B0%80%EC%A0%95%EB%8F%99 619-7" xr:uid="{05FBA1B3-83E2-4571-AB15-495D176DFF6B}"/>
    <hyperlink ref="B444" r:id="rId376" display="https://map.naver.com/v5/search/%EC%9D%B8%EC%B2%9C%EA%B4%91%EC%97%AD%EC%8B%9C %EC%84%9C%EA%B5%AC %EA%B0%80%EC%A0%95%EB%8F%99 616-3" xr:uid="{AAA732F9-F4AA-4CC8-812C-85EC9C4A89CE}"/>
    <hyperlink ref="B445" r:id="rId377" display="https://map.naver.com/v5/search/%EB%A7%88%ED%8F%AC%EA%B5%AC %EC%8B%A0%EA%B3%B5%EB%8D%95%EB%8F%99 13-11" xr:uid="{17FA31C9-3312-40E7-B896-839193A6B484}"/>
    <hyperlink ref="B446" r:id="rId378" display="https://map.naver.com/v5/search/%EB%A7%88%ED%8F%AC%EA%B5%AC %EC%8B%A0%EA%B3%B5%EB%8D%95%EB%8F%99 13-11" xr:uid="{D623D2C5-DAA6-4FD7-BB8C-ECB2B4B29FEA}"/>
    <hyperlink ref="B447" r:id="rId379" display="https://map.naver.com/v5/search/%EB%A7%88%ED%8F%AC%EA%B5%AC %EC%84%9C%EA%B5%90%EB%8F%99 374-10" xr:uid="{DEB5DFB5-7815-4516-AF5A-72ACA032D317}"/>
    <hyperlink ref="B448" r:id="rId380" display="https://map.naver.com/v5/search/%EB%A7%88%ED%8F%AC%EA%B5%AC %EB%8F%84%ED%99%94%EB%8F%99 250-4" xr:uid="{3BB4DE84-C05B-4D3E-9A0E-6634096D1EF6}"/>
    <hyperlink ref="B449" r:id="rId381" display="https://map.naver.com/v5/search/%EB%A7%88%ED%8F%AC%EA%B5%AC %EB%8F%84%ED%99%94%EB%8F%99 159-16" xr:uid="{35421695-7B96-486F-A987-1FE663B52015}"/>
    <hyperlink ref="B450" r:id="rId382" display="https://map.naver.com/v5/search/%EB%A7%88%ED%8F%AC%EA%B5%AC %EB%8F%84%ED%99%94%EB%8F%99 250-11" xr:uid="{47F3EC74-8811-402D-9ECF-383C02CCC951}"/>
    <hyperlink ref="B453" r:id="rId383" display="https://map.naver.com/v5/search/%EC%88%98%EC%9B%90%EC%8B%9C %EC%9E%A5%EC%95%88%EA%B5%AC %EC%97%B0%EB%AC%B4%EB%8F%99 245-17" xr:uid="{5D35D122-CA04-4637-BACD-2561EDA02496}"/>
    <hyperlink ref="B454" r:id="rId384" display="https://map.naver.com/v5/search/%EB%B6%84%EB%8B%B9%EA%B5%AC %EC%84%9C%ED%98%84%EB%8F%99 269-3" xr:uid="{6820515D-F6F6-463C-BAFD-CA4D8DCC8336}"/>
    <hyperlink ref="B455" r:id="rId385" display="https://map.naver.com/v5/search/%EA%B3%A0%EC%96%91%EC%8B%9C %EB%8D%95%EC%96%91%EA%B5%AC %ED%96%89%EC%8B%A0%EB%8F%99 707-1" xr:uid="{D8823A52-DEC2-4860-A639-1AE1C540E9A2}"/>
    <hyperlink ref="B456" r:id="rId386" display="https://map.naver.com/v5/search/%EA%B3%A0%EC%96%91%EC%8B%9C %EB%8D%95%EC%96%91%EA%B5%AC %ED%96%89%EC%8B%A0%EB%8F%99 766" xr:uid="{76BD7F4D-D1A5-49B0-A8C4-2D3EAAE1171B}"/>
    <hyperlink ref="B457" r:id="rId387" display="https://map.naver.com/v5/search/%EA%B3%A0%EC%96%91%EC%8B%9C %EB%8D%95%EC%96%91%EA%B5%AC %ED%96%89%EC%8B%A0%EB%8F%99 706-1" xr:uid="{A063FD66-27AB-485B-ACEC-6B5F7153D922}"/>
    <hyperlink ref="B458" r:id="rId388" display="https://map.naver.com/v5/search/%EA%B3%A0%EC%96%91%EC%8B%9C %EB%8D%95%EC%96%91%EA%B5%AC %ED%96%89%EC%8B%A0%EB%8F%99 761-6" xr:uid="{47DAE774-CBFE-46A8-A0AB-19FBD45BED08}"/>
    <hyperlink ref="B459" r:id="rId389" display="https://map.naver.com/v5/search/%EA%B0%95%EC%84%9C%EA%B5%AC %EC%97%BC%EC%B0%BD%EB%8F%99 282-26" xr:uid="{FA0A3594-D02E-48E9-A930-BDD5770774C8}"/>
    <hyperlink ref="B460" r:id="rId390" display="https://map.naver.com/v5/search/%EA%B0%95%EC%84%9C%EA%B5%AC %EC%97%BC%EC%B0%BD%EB%8F%99 282-18" xr:uid="{7B4BA260-8E4A-4E2A-9DA5-B192F02DAD7C}"/>
    <hyperlink ref="B461" r:id="rId391" display="https://map.naver.com/v5/search/%EC%96%91%EC%B2%9C%EA%B5%AC %EB%AA%A9%EB%8F%99 406-258" xr:uid="{9F0CEFA7-E4CB-43A4-8714-15F1F602CC53}"/>
    <hyperlink ref="B462" r:id="rId392" display="https://map.naver.com/v5/search/%EC%96%91%EC%B2%9C%EA%B5%AC %EB%AA%A9%EB%8F%99 406-184" xr:uid="{344ED2FD-20FA-4023-9E81-F0EC79DD7970}"/>
    <hyperlink ref="B463" r:id="rId393" display="https://map.naver.com/v5/search/%EC%96%91%EC%B2%9C%EA%B5%AC %EC%8B%A0%EC%A0%95%EB%8F%99 118-3" xr:uid="{F049A185-87B8-4775-9694-5E9AF8FE3EE1}"/>
    <hyperlink ref="B464" r:id="rId394" display="https://map.naver.com/v5/search/%EC%96%91%EC%B2%9C%EA%B5%AC %EB%AA%A9%EB%8F%99 405-70" xr:uid="{4E06B395-B068-4AEE-B002-D4F9E9733ED9}"/>
    <hyperlink ref="B465" r:id="rId395" display="https://map.naver.com/v5/search/%EC%96%91%EC%B2%9C%EA%B5%AC %EB%AA%A9%EB%8F%99 406-271" xr:uid="{B0BCC69C-102D-4E39-B625-2CA657608B9D}"/>
    <hyperlink ref="B466" r:id="rId396" display="https://map.naver.com/v5/search/%EC%96%91%EC%B2%9C%EA%B5%AC %EB%AA%A9%EB%8F%99 406-271" xr:uid="{3B6854E0-6EA1-41C6-8D59-EEE6D90D16BD}"/>
    <hyperlink ref="B469" r:id="rId397" display="https://map.naver.com/v5/search/%EC%84%9C%EC%9A%B8 %EC%98%81%EB%93%B1%ED%8F%AC%EA%B5%AC %EC%8B%A0%EA%B8%B8%EB%8F%99 496" xr:uid="{29168B67-2329-4B4D-95D6-32E6CF239771}"/>
    <hyperlink ref="B470" r:id="rId398" display="https://map.naver.com/v5/search/%EC%84%9C%EC%9A%B8%ED%8A%B9%EB%B3%84%EC%8B%9C %EC%98%81%EB%93%B1%ED%8F%AC%EA%B5%AC %EC%8B%A0%EA%B8%B8%EB%A1%9C 36" xr:uid="{92709AC1-2139-4878-80CD-90EB0CAC2197}"/>
    <hyperlink ref="B471" r:id="rId399" display="https://map.naver.com/v5/search/%EC%A4%91%EA%B5%AC %EC%84%9C%EC%86%8C%EB%AC%B8%EB%8F%99 34" xr:uid="{354C508C-658E-482F-B002-CAD185A22714}"/>
    <hyperlink ref="B472" r:id="rId400" display="https://map.naver.com/v5/search/%EC%A2%85%EB%A1%9C%EA%B5%AC %EC%B2%AD%EC%A7%84%EB%8F%99 30" xr:uid="{C880BFD6-3C6B-422C-906F-3095ED897D1F}"/>
    <hyperlink ref="B473" r:id="rId401" display="https://map.naver.com/v5/search/%EC%A2%85%EB%A1%9C%EA%B5%AC %EC%B2%AD%EC%A7%84%EB%8F%99 70" xr:uid="{9396974C-F4E5-4963-B0ED-8EA71F004A78}"/>
    <hyperlink ref="B474" r:id="rId402" display="https://map.naver.com/v5/search/%EC%A2%85%EB%A1%9C%EA%B5%AC %EC%88%98%EC%86%A1%EB%8F%99 156" xr:uid="{C194A3D2-C3F8-4903-906B-CAE2E4436E2F}"/>
    <hyperlink ref="B475" r:id="rId403" display="https://map.naver.com/v5/search/%EC%A2%85%EB%A1%9C%EA%B5%AC %EB%8F%88%EC%9D%98%EB%8F%99 128-2" xr:uid="{9E51AAAD-BA61-44B9-B12D-8AAF06C4E8AA}"/>
    <hyperlink ref="B476" r:id="rId404" display="https://map.naver.com/v5/search/%EC%A2%85%EB%A1%9C%EA%B5%AC %EB%82%99%EC%9B%90%EB%8F%99 146" xr:uid="{BB6D042B-522B-4E7E-BA01-D4EC6E921142}"/>
    <hyperlink ref="B477" r:id="rId405" display="https://map.naver.com/v5/search/%EC%A2%85%EB%A1%9C%EA%B5%AC %EB%82%99%EC%9B%90%EB%8F%99 148" xr:uid="{C529DAE2-96D7-442A-9D1D-C09D866D821B}"/>
    <hyperlink ref="B478" r:id="rId406" display="https://map.naver.com/v5/search/%EC%9A%A9%EC%82%B0%EA%B5%AC %EC%9D%B4%ED%83%9C%EC%9B%90%EB%8F%99 128-3" xr:uid="{00B1546F-8F52-4D73-B1A2-F8F71070CA00}"/>
    <hyperlink ref="B479" r:id="rId407" display="https://map.naver.com/v5/search/%EC%9A%A9%EC%82%B0%EA%B5%AC %EC%9D%B4%ED%83%9C%EC%9B%90%EB%8F%99 128-3" xr:uid="{45C86D7D-EFEE-4CFB-9574-2D201621AE90}"/>
    <hyperlink ref="B480" r:id="rId408" display="https://map.naver.com/v5/search/%EA%B0%95%EB%82%A8%EA%B5%AC %EC%8B%A0%EC%82%AC%EB%8F%99 581" xr:uid="{656E1E99-0E1A-4CCB-9B76-C6B4C678BD34}"/>
    <hyperlink ref="B481" r:id="rId409" display="https://map.naver.com/v5/search/%EA%B0%95%EB%82%A8%EA%B5%AC %EC%8B%A0%EC%82%AC%EB%8F%99 614" xr:uid="{E9EA6E03-98F0-42CA-8936-50B5C353EBA1}"/>
    <hyperlink ref="B482" r:id="rId410" display="https://map.naver.com/v5/search/%EA%B0%95%EB%82%A8%EA%B5%AC %EC%8B%A0%EC%82%AC%EB%8F%99 514-22" xr:uid="{0392D5B8-B391-48D5-846C-61C9D853E64F}"/>
    <hyperlink ref="B483" r:id="rId411" display="https://map.naver.com/v5/search/%EA%B0%95%EB%82%A8%EA%B5%AC %EC%8B%A0%EC%82%AC%EB%8F%99 610-2" xr:uid="{C6F5C621-35E5-463C-A8C8-86ADE5388A80}"/>
    <hyperlink ref="B484" r:id="rId412" display="https://map.naver.com/v5/search/%EA%B0%95%EB%82%A8%EA%B5%AC %EC%8B%A0%EC%82%AC%EB%8F%99 655-4" xr:uid="{BD21C5DA-C606-4304-826D-3F6905048007}"/>
    <hyperlink ref="B485" r:id="rId413" display="https://map.naver.com/v5/search/%EA%B0%95%EB%82%A8%EA%B5%AC %EC%8B%A0%EC%82%AC%EB%8F%99 662-17" xr:uid="{3D63D66A-2540-4A58-BB54-FED1C1C17645}"/>
    <hyperlink ref="B486" r:id="rId414" display="https://map.naver.com/v5/search/%EA%B0%95%EB%82%A8%EA%B5%AC %EC%8B%A0%EC%82%AC%EB%8F%99 642-9" xr:uid="{2ECF3F9A-819E-4175-9BD3-1FDA75946215}"/>
    <hyperlink ref="B487" r:id="rId415" display="https://map.naver.com/v5/search/%EA%B0%95%EB%82%A8%EA%B5%AC %EC%8B%A0%EC%82%AC%EB%8F%99 642-17" xr:uid="{F9F25B9E-D479-484B-899C-EF4A4E78C07D}"/>
    <hyperlink ref="B488" r:id="rId416" display="https://map.naver.com/v5/search/%EC%A2%85%EB%A1%9C%EA%B5%AC %EB%8F%99%EC%88%AD%EB%8F%99 1-33" xr:uid="{4048ECC1-1038-48F5-9A33-5D51274EA22E}"/>
    <hyperlink ref="B489" r:id="rId417" display="https://map.naver.com/v5/search/%EC%A2%85%EB%A1%9C%EA%B5%AC %EB%AA%85%EB%A5%9C4%EA%B0%80 21" xr:uid="{0B56377A-72B5-4FB1-83C3-EF5D8CE4CD76}"/>
    <hyperlink ref="B490" r:id="rId418" display="https://map.naver.com/v5/search/%EC%A2%85%EB%A1%9C%EA%B5%AC %EB%AA%85%EB%A5%9C2%EA%B0%80 26" xr:uid="{A45C797A-4434-4454-AEB4-C1ED6ED33AFC}"/>
    <hyperlink ref="B491" r:id="rId419" display="https://map.naver.com/v5/search/%EC%A2%85%EB%A1%9C%EA%B5%AC %EB%AA%85%EB%A5%9C2%EA%B0%80 28" xr:uid="{50DE69BD-2D24-481C-A07E-3D78CCB77BB4}"/>
    <hyperlink ref="B492" r:id="rId420" display="https://map.naver.com/v5/search/%EC%A2%85%EB%A1%9C%EA%B5%AC %EB%AA%85%EB%A5%9C2%EA%B0%80 186-2" xr:uid="{73A36858-8BC7-407D-8770-EDE93D7CB846}"/>
    <hyperlink ref="B493" r:id="rId421" display="https://map.naver.com/v5/search/%EA%B4%80%EC%95%85%EA%B5%AC %EC%8B%A0%EB%A6%BC%EB%8F%99 517-50" xr:uid="{3227D162-44CA-449E-BC0E-024C268CEDCC}"/>
    <hyperlink ref="B496" r:id="rId422" display="https://map.naver.com/v5/search/%EC%98%81%EB%93%B1%ED%8F%AC%EA%B5%AC %EC%8B%A0%EA%B8%B8%EB%8F%99 236" xr:uid="{C612AB61-469E-4D8F-A927-B985A9121F9D}"/>
    <hyperlink ref="B497" r:id="rId423" display="https://map.naver.com/v5/search/%EC%98%81%EB%93%B1%ED%8F%AC%EA%B5%AC %EC%8B%A0%EA%B8%B8%EB%8F%99 425-3" xr:uid="{C1623882-1138-423B-9E8A-0C847CA22D2C}"/>
    <hyperlink ref="B498" r:id="rId424" display="https://map.naver.com/v5/search/%EC%A2%85%EB%A1%9C%EA%B5%AC %EB%82%B4%EC%88%98%EB%8F%99 4" xr:uid="{555906FC-EB49-4730-8A61-249F026B193B}"/>
    <hyperlink ref="B499" r:id="rId425" display="https://map.naver.com/v5/search/%EC%A2%85%EB%A1%9C%EA%B5%AC %EB%82%B4%EC%88%98%EB%8F%99 4" xr:uid="{82C53E5E-BEC9-4CCB-B3C7-43894AE79B13}"/>
    <hyperlink ref="B500" r:id="rId426" display="https://map.naver.com/v5/search/%EC%84%B1%EB%82%A8%EB%8F%99 3141" xr:uid="{22EF21C9-ECDA-4B1B-8756-33CBF0DA2C9E}"/>
    <hyperlink ref="B501" r:id="rId427" display="https://map.naver.com/v5/search/%EC%84%B1%EB%82%A8%EB%8F%99 3192" xr:uid="{3A2D35BF-E1D7-4DFD-A340-157AFA3642FD}"/>
    <hyperlink ref="B502" r:id="rId428" display="https://map.naver.com/v5/search/%ED%95%98%EB%8C%80%EC%9B%90%EB%8F%99 110-4" xr:uid="{E249C1D7-872E-446C-9272-0B8E3E174AEC}"/>
    <hyperlink ref="B503" r:id="rId429" display="https://map.naver.com/v5/search/%EC%84%B1%EB%82%A8%EB%8F%99 3493" xr:uid="{5A610CA0-6267-4571-8D91-FCC0202731D2}"/>
    <hyperlink ref="B504" r:id="rId430" display="https://map.naver.com/v5/search/%EC%84%B1%EB%82%A8%EB%8F%99 3536" xr:uid="{8FDBBC6B-99EA-4569-8E66-0B64CC18EC7F}"/>
    <hyperlink ref="B505" r:id="rId431" display="https://map.naver.com/v5/search/%EC%84%B1%EB%82%A8%EB%8F%99 3431" xr:uid="{3642C3F0-B98F-432B-9BA1-55A4B642E8BD}"/>
    <hyperlink ref="B506" r:id="rId432" display="https://map.naver.com/v5/search/%ED%95%98%EB%8C%80%EC%9B%90%EB%8F%99 100-11" xr:uid="{ED34BA75-8DEB-4A0F-B98F-0A3D28CCE45A}"/>
    <hyperlink ref="B507" r:id="rId433" display="https://map.naver.com/v5/search/%EC%88%98%EC%A7%84%EB%8F%99 4516" xr:uid="{43E65245-F674-4B17-9E06-C965D6D15CBA}"/>
    <hyperlink ref="B508" r:id="rId434" display="https://map.naver.com/v5/search/%EC%88%98%EC%A7%84%EB%8F%99 3011" xr:uid="{05A5E9D0-A993-4622-AB2D-D911DC6CAA91}"/>
    <hyperlink ref="B509" r:id="rId435" display="https://map.naver.com/v5/search/%EC%88%98%EC%A7%84%EB%8F%99 53" xr:uid="{E71DF12A-2538-4FF3-944F-747D5F32BFF0}"/>
    <hyperlink ref="B510" r:id="rId436" display="https://map.naver.com/v5/search/%EC%88%98%EC%A7%84%EB%8F%99 10" xr:uid="{74250946-B1B1-42F7-8AD6-6249056A3241}"/>
    <hyperlink ref="B511" r:id="rId437" display="https://map.naver.com/v5/search/%EA%B3%A0%EC%9E%94%EB%8F%99 706" xr:uid="{F3F840F1-C711-4F4C-9804-3125DF42C872}"/>
    <hyperlink ref="B512" r:id="rId438" display="https://map.naver.com/v5/search/%EC%8B%A0%EC%82%AC%EB%8F%99 644-13" xr:uid="{FE0748CE-162B-4510-8625-06160841BAB6}"/>
    <hyperlink ref="B513" r:id="rId439" display="https://map.naver.com/v5/search/%EC%8B%A0%EC%82%AC%EB%8F%99 664" xr:uid="{BC314113-A488-4DD6-B276-1B4482F7F808}"/>
    <hyperlink ref="B514" r:id="rId440" display="https://map.naver.com/v5/search/%EA%B3%A0%EC%83%89%EB%8F%99 914-18" xr:uid="{601F7524-66E8-418F-982B-7C66AE34DDDF}"/>
    <hyperlink ref="B515" r:id="rId441" display="https://map.naver.com/v5/search/%EA%B4%B4%EC%95%88%EB%8F%99 127-1" xr:uid="{1454D02B-1C89-43E1-9BD3-AB86E5BA70B9}"/>
    <hyperlink ref="B518" r:id="rId442" display="https://map.naver.com/v5/search/%EC%98%81%EB%93%B1%ED%8F%AC%EA%B5%AC %EC%97%AC%EC%9D%98%EB%8F%84%EB%8F%99 36" xr:uid="{3D449182-FF77-466B-B36A-BCC095953F4F}"/>
    <hyperlink ref="B519" r:id="rId443" display="https://map.naver.com/v5/search/%EA%B0%95%EB%82%A8%EA%B5%AC %EC%97%AD%EC%82%BC%EB%8F%99 823-10" xr:uid="{86ACB971-A609-4DE3-9805-711DB3C86ED8}"/>
    <hyperlink ref="B520" r:id="rId444" display="https://map.naver.com/v5/search/%EA%B0%95%EB%82%A8%EA%B5%AC %EC%97%AD%EC%82%BC%EB%8F%99 738-6" xr:uid="{BBDD480F-F444-451F-9A73-311E73706668}"/>
    <hyperlink ref="B521" r:id="rId445" display="https://map.naver.com/v5/search/%EC%98%81%EB%93%B1%ED%8F%AC%EA%B5%AC %EC%97%AC%EC%9D%98%EB%8F%84%EB%8F%99 53-3" xr:uid="{F860E599-6060-4589-AD4A-7719D51823A2}"/>
    <hyperlink ref="B522" r:id="rId446" display="https://map.naver.com/v5/search/%EA%B0%95%EB%82%A8%EA%B5%AC %EC%82%BC%EC%84%B1%EB%8F%99 143-34" xr:uid="{4C1178E3-6402-40FA-8011-08AA4D0E8695}"/>
    <hyperlink ref="B523" r:id="rId447" display="https://map.naver.com/v5/search/%EC%84%9C%EC%B4%88%EA%B5%AC %EC%84%9C%EC%B4%88%EB%8F%99 1557-22" xr:uid="{9ECCFB06-994C-4E11-84F4-0D5BA1C084F1}"/>
    <hyperlink ref="B524" r:id="rId448" display="https://map.naver.com/v5/search/%EA%B0%95%EB%82%A8%EA%B5%AC %EC%97%AD%EC%82%BC%EB%8F%99 826-34" xr:uid="{947E67E0-9F36-4492-8497-FEE2D12510E6}"/>
    <hyperlink ref="B525" r:id="rId449" display="https://map.naver.com/v5/search/%EC%84%9C%EC%B4%88%EA%B5%AC %EC%84%9C%EC%B4%88%EB%8F%99 1510-4" xr:uid="{FE728234-B18E-4591-9043-70B6E1C00FB4}"/>
    <hyperlink ref="B526" r:id="rId450" display="https://map.naver.com/v5/search/%EA%B0%95%EB%82%A8%EA%B5%AC %EC%97%AD%EC%82%BC%EB%8F%99 646-14" xr:uid="{077E1099-25FD-4FE4-9778-0D01C1A9F36C}"/>
    <hyperlink ref="B527" r:id="rId451" display="https://map.naver.com/v5/search/%EA%B0%95%EB%82%A8%EA%B5%AC %EC%97%AD%EC%82%BC%EB%8F%99 738-17" xr:uid="{9B4789F2-3AF7-4B73-87AC-46F96B3E747F}"/>
    <hyperlink ref="B528" r:id="rId452" display="https://map.naver.com/v5/search/%EC%9D%80%ED%8F%89%EA%B5%AC %EB%85%B9%EB%B2%88%EB%8F%99 161-5" xr:uid="{2DBE1B29-7EF5-4831-A055-06C589FFDBB7}"/>
    <hyperlink ref="B529" r:id="rId453" display="https://map.naver.com/v5/search/%EC%9D%80%ED%8F%89%EA%B5%AC %EC%97%AD%EC%B4%8C%EB%8F%99 16-2" xr:uid="{3646AFC9-F429-4F43-9771-63DDCFE3E9C9}"/>
    <hyperlink ref="B530" r:id="rId454" display="https://map.naver.com/v5/search/%EC%9D%80%ED%8F%89%EA%B5%AC %EA%B0%88%ED%98%84%EB%8F%99 549" xr:uid="{DA44BF8D-BE34-4E34-AF84-55C70E31D8AD}"/>
    <hyperlink ref="B531" r:id="rId455" display="https://map.naver.com/v5/search/%EC%9D%80%ED%8F%89%EA%B5%AC %EB%85%B9%EB%B2%88%EB%8F%99 155-13" xr:uid="{587312B6-F4D0-48E5-B575-439175EB5965}"/>
    <hyperlink ref="B532" r:id="rId456" display="https://map.naver.com/v5/search/%EC%9D%80%ED%8F%89%EA%B5%AC %EC%9D%91%EC%95%94%EB%8F%99 84-13" xr:uid="{A0A094C4-843A-4528-8AFE-046B15EC5764}"/>
    <hyperlink ref="B533" r:id="rId457" display="https://map.naver.com/v5/search/%EC%9D%80%ED%8F%89%EA%B5%AC %EC%9D%91%EC%95%94%EB%8F%99 84-1" xr:uid="{3A11A49E-E5FD-4CD9-A65E-2AC57B77F411}"/>
    <hyperlink ref="B536" r:id="rId458" display="https://map.naver.com/v5/search/%EC%9D%B8%EC%B2%9C %EB%B6%80%ED%8F%89%EA%B5%AC %EC%82%BC%EC%82%B0%EB%8F%99 427-1" xr:uid="{217E8A78-8E7B-42FC-ADB8-39518DEF5DF5}"/>
    <hyperlink ref="B537" r:id="rId459" display="https://map.naver.com/v5/search/%EA%B0%95%EB%82%A8%EA%B5%AC %EC%97%AD%EC%82%BC%EB%8F%99 701-1" xr:uid="{C4CF31DD-2D42-4D09-9126-D8F1A7A51D31}"/>
    <hyperlink ref="B538" r:id="rId460" display="https://map.naver.com/v5/search/%EC%9D%80%ED%8F%89%EA%B5%AC %EA%B0%88%ED%98%84%EB%8F%99 550" xr:uid="{B857C99C-F2F0-4756-8FAD-63414F798377}"/>
    <hyperlink ref="B539" r:id="rId461" display="https://map.naver.com/v5/search/%EC%9D%80%ED%8F%89%EA%B5%AC %EA%B0%88%ED%98%84%EB%8F%99 110-5" xr:uid="{A7765073-8BA1-4975-9874-00B12E4733C5}"/>
    <hyperlink ref="B540" r:id="rId462" display="https://map.naver.com/v5/search/%EC%9D%B8%EC%B2%9C %EB%B6%80%ED%8F%89%EA%B5%AC %EC%82%B0%EA%B3%A1%EB%8F%99 369-306" xr:uid="{7B6B123A-A743-404D-A92E-DA36173EAA89}"/>
    <hyperlink ref="B541" r:id="rId463" display="https://map.naver.com/v5/search/%EC%9D%80%ED%8F%89%EA%B5%AC %EA%B0%88%ED%98%84%EB%8F%99 401-2" xr:uid="{E9DF9DA1-C4E4-484D-83C1-95432FEA96A0}"/>
    <hyperlink ref="B542" r:id="rId464" display="https://map.naver.com/v5/search/%EC%84%9C%EC%9A%B8 %EC%9D%80%ED%8F%89%EA%B5%AC %EA%B5%AC%EC%82%B0%EB%8F%99 1-33" xr:uid="{E23EF639-ACDE-49C4-8EB6-FD0C8396EDF9}"/>
    <hyperlink ref="B543" r:id="rId465" display="https://map.naver.com/v5/search/%EC%9D%80%ED%8F%89%EA%B5%AC %EA%B0%88%ED%98%84%EB%8F%99 453-10" xr:uid="{DF6BA947-AEBD-4748-937B-646CEFFF2645}"/>
    <hyperlink ref="B544" r:id="rId466" display="https://map.naver.com/v5/search/%EC%9D%80%ED%8F%89%EA%B5%AC %EA%B0%88%ED%98%84%EB%8F%99 452-25" xr:uid="{E86265B7-5AF9-48D0-B7B3-725201E7A7B2}"/>
    <hyperlink ref="B545" r:id="rId467" display="https://map.naver.com/v5/search/%EC%9D%80%ED%8F%89%EA%B5%AC %EA%B0%88%ED%98%84%EB%8F%99 453-8" xr:uid="{CD65F2A5-EB5A-4128-B089-B4FB81754F31}"/>
    <hyperlink ref="B546" r:id="rId468" display="https://map.naver.com/v5/search/%EC%9D%80%ED%8F%89%EA%B5%AC %EA%B0%88%ED%98%84%EB%8F%99 453-14" xr:uid="{97585567-07A8-4D2A-90BB-DD6703BDDAC3}"/>
    <hyperlink ref="B547" r:id="rId469" display="https://map.naver.com/v5/search/%EC%9D%80%ED%8F%89%EA%B5%AC %EA%B0%88%ED%98%84%EB%8F%99 453-24" xr:uid="{34B24602-AAA3-4EE5-BB60-939AA420B152}"/>
    <hyperlink ref="B548" r:id="rId470" display="https://map.naver.com/v5/search/%EC%9D%80%ED%8F%89%EA%B5%AC %EA%B0%88%ED%98%84%EB%8F%99 453-25" xr:uid="{5FD40EC9-0F95-41C1-9757-D95B78A3768B}"/>
    <hyperlink ref="B549" r:id="rId471" display="https://map.naver.com/v5/search/%EC%9D%B8%EC%B2%9C %EC%84%9C%EA%B5%AC %EA%B0%80%EC%A0%95%EB%8F%99 619-1" xr:uid="{06C80F93-515B-4FB2-A414-B7F83C68431A}"/>
    <hyperlink ref="B550" r:id="rId472" display="https://map.naver.com/v5/search/%EC%9D%80%ED%8F%89%EA%B5%AC %EA%B0%88%ED%98%84%EB%8F%99 455-14" xr:uid="{4498FE24-36E7-489E-8765-352ECC5F3D18}"/>
    <hyperlink ref="B551" r:id="rId473" display="https://map.naver.com/v5/search/%EC%9D%80%ED%8F%89%EA%B5%AC %EA%B0%88%ED%98%84%EB%8F%99 430-4" xr:uid="{B2536FC4-9B67-41BA-86B9-D0E5BB45BF30}"/>
    <hyperlink ref="B552" r:id="rId474" display="https://map.naver.com/v5/search/%EC%9D%80%ED%8F%89%EA%B5%AC %EA%B0%88%ED%98%84%EB%8F%99 456-24" xr:uid="{A0A41BF8-6AA0-4E68-BF95-56255AA0DB25}"/>
    <hyperlink ref="B553" r:id="rId475" display="https://map.naver.com/v5/search/%EC%9D%80%ED%8F%89%EA%B5%AC %EA%B0%88%ED%98%84%EB%8F%99 400-4" xr:uid="{2CFA39A8-A0C1-4864-BFBD-CC78F348D85E}"/>
    <hyperlink ref="B554" r:id="rId476" display="https://map.naver.com/v5/search/%EC%9D%80%ED%8F%89%EA%B5%AC %EA%B0%88%ED%98%84%EB%8F%99 453-11" xr:uid="{FBAEC838-C7FD-4467-A7E5-B2FBAB1D375D}"/>
    <hyperlink ref="B555" r:id="rId477" display="https://map.naver.com/v5/search/%EA%B0%95%EB%82%A8%EA%B5%AC %EC%97%AD%EC%82%BC%EB%8F%99 678-2" xr:uid="{1BCC0097-9E47-4CBF-9817-5745AC605C52}"/>
    <hyperlink ref="B556" r:id="rId478" display="https://map.naver.com/v5/search/%EA%B0%95%EB%82%A8%EA%B5%AC %EC%97%AD%EC%82%BC%EB%8F%99 669-15" xr:uid="{20E0C49C-8AD4-4756-B008-ED032EE5F2E8}"/>
    <hyperlink ref="B557" r:id="rId479" display="https://map.naver.com/v5/search/%EA%B0%95%EB%82%A8%EA%B5%AC %EC%97%AD%EC%82%BC%EB%8F%99 719-35" xr:uid="{0FC37D02-E1A5-4DAB-B2A3-3F5FF0009339}"/>
    <hyperlink ref="B558" r:id="rId480" display="https://map.naver.com/v5/search/%EC%9D%80%ED%8F%89%EA%B5%AC %EC%88%98%EC%83%89%EB%8F%99 370-1" xr:uid="{140F7565-0DD9-4F1D-9190-0E09F62D053D}"/>
    <hyperlink ref="B559" r:id="rId481" display="https://map.naver.com/v5/search/%EC%9D%80%ED%8F%89%EA%B5%AC %EB%B6%88%EA%B4%91%EB%8F%99 13-19" xr:uid="{56D6BA63-C70D-48EC-9C55-14C3F770099B}"/>
    <hyperlink ref="B560" r:id="rId482" display="https://map.naver.com/v5/search/%EC%9D%80%ED%8F%89%EA%B5%AC %EB%B6%88%EA%B4%91%EB%8F%99 12-2" xr:uid="{5B61F068-2F58-46AF-860E-D82789297579}"/>
    <hyperlink ref="B561" r:id="rId483" display="https://map.naver.com/v5/search/%EC%9D%80%ED%8F%89%EA%B5%AC %EB%B6%88%EA%B4%91%EB%8F%99 316-3" xr:uid="{C0FCE8A3-7C13-4AC0-9F23-E90A9DCFA63B}"/>
    <hyperlink ref="B562" r:id="rId484" display="https://map.naver.com/v5/search/%EC%9D%80%ED%8F%89%EA%B5%AC %EA%B0%88%ED%98%84%EB%8F%99 401-14" xr:uid="{B312B8B6-FB96-4DEB-B96B-B4480C3497F5}"/>
    <hyperlink ref="B563" r:id="rId485" display="https://map.naver.com/v5/search/%EC%9D%80%ED%8F%89%EA%B5%AC %EA%B0%88%ED%98%84%EB%8F%99 456-1" xr:uid="{14A66B15-11A4-429E-9325-7313CEB90B7D}"/>
    <hyperlink ref="B564" r:id="rId486" display="https://map.naver.com/v5/search/%EC%9D%80%ED%8F%89%EA%B5%AC %EA%B0%88%ED%98%84%EB%8F%99 394-30" xr:uid="{261FE6CA-CDA4-43E5-9F06-FA6EA4346AA4}"/>
    <hyperlink ref="B565" r:id="rId487" display="https://map.naver.com/v5/search/%EC%9D%80%ED%8F%89%EA%B5%AC %EB%8C%80%EC%A1%B0%EB%8F%99 12-28" xr:uid="{0477164F-3828-450D-ADF8-1EF116DC6B3B}"/>
    <hyperlink ref="B566" r:id="rId488" display="https://map.naver.com/v5/search/%EA%B3%A0%EC%96%91%EC%8B%9C %EB%8D%95%EC%96%91%EA%B5%AC %EC%84%B1%EC%82%AC%EB%8F%99 291-20" xr:uid="{547EB7BB-1CA8-4E96-93EB-8CF97C296102}"/>
    <hyperlink ref="B567" r:id="rId489" display="https://map.naver.com/v5/search/%EC%9D%80%ED%8F%89%EA%B5%AC %EB%85%B9%EB%B2%88%EB%8F%99 35-21" xr:uid="{35161A38-66FD-4DB5-B8CA-7A22301B2349}"/>
    <hyperlink ref="B568" r:id="rId490" display="https://map.naver.com/v5/search/%EC%84%9C%EB%8C%80%EB%AC%B8%EA%B5%AC %ED%99%8D%EC%A0%9C%EB%8F%99 139-22" xr:uid="{743AE23E-4439-4776-BE62-C3A470FD95F0}"/>
    <hyperlink ref="B569" r:id="rId491" display="https://map.naver.com/v5/search/%EA%B3%A0%EC%96%91%EC%8B%9C %EB%8D%95%EC%96%91%EA%B5%AC %EC%84%B1%EC%82%AC%EB%8F%99 11-4" xr:uid="{11AECC71-5FFD-4900-A9C1-555F99CD2294}"/>
    <hyperlink ref="B570" r:id="rId492" display="https://map.naver.com/v5/search/%EA%B3%A0%EC%96%91%EC%8B%9C %EB%8D%95%EC%96%91%EA%B5%AC %EC%82%BC%EC%86%A1%EB%8F%99 347-1" xr:uid="{2CB8C6D0-2155-4738-B0D5-52F0628918E4}"/>
    <hyperlink ref="B573" r:id="rId493" display="https://map.naver.com/v5/search/%EC%9D%B8%EC%B2%9C%EC%8B%9C %EA%B3%84%EC%96%91%EA%B5%AC %EA%B3%84%EC%82%B0%EB%8F%99 1080-8" xr:uid="{7EB18705-EB33-4882-B4C6-53099B8658E7}"/>
    <hyperlink ref="B574" r:id="rId494" display="https://map.naver.com/v5/search/%EA%B2%BD%EA%B8%B0 %EA%B5%B0%ED%8F%AC%EC%8B%9C %EC%82%B0%EB%B3%B8%EB%8F%99 1129-2" xr:uid="{E94A07E0-EEC3-4B09-8A6C-3BD0237EBEE3}"/>
    <hyperlink ref="B575" r:id="rId495" display="https://map.naver.com/v5/search/%EC%9D%80%ED%8F%89%EA%B5%AC %EB%85%B9%EB%B2%88%EB%8F%99 182" xr:uid="{E39A0E77-A4A8-452E-8657-B3B20B2704FF}"/>
    <hyperlink ref="B576" r:id="rId496" display="https://map.naver.com/v5/search/%EC%9D%80%ED%8F%89%EA%B5%AC %EA%B0%88%ED%98%84%EB%8F%99 393-8" xr:uid="{1F823860-1073-4933-9E94-832A6174090E}"/>
    <hyperlink ref="B577" r:id="rId497" display="https://map.naver.com/v5/search/%EC%9D%80%ED%8F%89%EA%B5%AC %EA%B0%88%ED%98%84%EB%8F%99 402-26" xr:uid="{F8353C88-AC1D-4D88-8ED4-9E19BCAA5E9A}"/>
    <hyperlink ref="B578" r:id="rId498" display="https://map.naver.com/v5/search/%EC%9D%80%ED%8F%89%EA%B5%AC %EB%B6%88%EA%B4%91%EB%8F%99 102-18" xr:uid="{35636DF6-5295-4CE0-922C-78E4136A83CB}"/>
    <hyperlink ref="B579" r:id="rId499" display="https://map.naver.com/v5/search/%EC%9D%80%ED%8F%89%EA%B5%AC %EB%B6%88%EA%B4%91%EB%8F%99 281-113" xr:uid="{4E6FC1DE-C4F5-44D0-AD17-1A0138931252}"/>
    <hyperlink ref="B580" r:id="rId500" display="https://map.naver.com/v5/search/%EC%9D%80%ED%8F%89%EA%B5%AC %EB%B6%88%EA%B4%91%EB%8F%99 281-136" xr:uid="{229177C7-3469-4329-844E-91D8FB5B5347}"/>
    <hyperlink ref="B581" r:id="rId501" display="https://map.naver.com/v5/search/%EC%9D%80%ED%8F%89%EA%B5%AC %EB%8C%80%EC%A1%B0%EB%8F%99 48-40" xr:uid="{8B870DA2-47D2-4EFF-88B5-5549AF205ABD}"/>
    <hyperlink ref="B582" r:id="rId502" display="https://map.naver.com/v5/search/%EC%9D%80%ED%8F%89%EA%B5%AC %EB%85%B9%EB%B2%88%EB%8F%99 80-31" xr:uid="{ED27C212-FDCE-4CE1-9D76-DE2234C40578}"/>
    <hyperlink ref="B583" r:id="rId503" display="https://map.naver.com/v5/search/%EC%9D%80%ED%8F%89%EA%B5%AC %EB%85%B9%EB%B2%88%EB%8F%99 118-1" xr:uid="{FFF76C72-2BFA-4877-9C92-0A7EDFBFD89B}"/>
    <hyperlink ref="B584" r:id="rId504" display="https://map.naver.com/v5/search/%EC%9D%80%ED%8F%89%EA%B5%AC %EC%97%AD%EC%B4%8C%EB%8F%99 3-12" xr:uid="{A6829EF7-CAAF-443C-9BC7-43EAE73908D6}"/>
    <hyperlink ref="B585" r:id="rId505" display="https://map.naver.com/v5/search/%EC%9D%80%ED%8F%89%EA%B5%AC %EC%97%AD%EC%B4%8C%EB%8F%99 43-2" xr:uid="{B4C79EE9-E338-4F25-9924-E196FD7402B5}"/>
    <hyperlink ref="B586" r:id="rId506" display="https://map.naver.com/v5/search/%EC%9D%80%ED%8F%89%EA%B5%AC %EC%97%AD%EC%B4%8C%EB%8F%99 8-38" xr:uid="{0B47EFBA-C7F3-4A02-BB41-38A4EF202F2C}"/>
    <hyperlink ref="B587" r:id="rId507" display="https://map.naver.com/v5/search/%EC%9D%80%ED%8F%89%EA%B5%AC %EC%8B%A0%EC%82%AC%EB%8F%99 162" xr:uid="{B1FA7B77-6C1B-44D9-A769-573A0051FFF8}"/>
    <hyperlink ref="B588" r:id="rId508" display="https://map.naver.com/v5/search/%EC%9D%80%ED%8F%89%EA%B5%AC %EC%9D%91%EC%95%94%EB%8F%99 110-4" xr:uid="{66558270-C18C-4927-A125-53DC23A0CC62}"/>
    <hyperlink ref="B589" r:id="rId509" display="https://map.naver.com/v5/search/%EC%9D%80%ED%8F%89%EA%B5%AC %EC%9D%91%EC%95%94%EB%8F%99 86-8" xr:uid="{7112787F-6727-41AA-91C6-19584CFD2D96}"/>
    <hyperlink ref="B590" r:id="rId510" display="https://map.naver.com/v5/search/%EC%9D%80%ED%8F%89%EA%B5%AC %EC%9D%91%EC%95%94%EB%8F%99 578-21" xr:uid="{689E7288-DFF0-4545-B793-125943172BFF}"/>
    <hyperlink ref="B591" r:id="rId511" display="https://map.naver.com/v5/search/%EC%9D%B8%EC%B2%9C %EC%84%9C%EA%B5%AC %EB%B6%88%EB%A1%9C%EB%8F%99 1009-1" xr:uid="{62D9D5A9-7A18-4250-AD97-4AA2D58D53F6}"/>
    <hyperlink ref="B592" r:id="rId512" display="https://map.naver.com/v5/search/%EC%9D%B8%EC%B2%9C %EB%82%A8%EB%8F%99%EA%B5%AC %EA%B0%84%EC%84%9D%EB%8F%99 915-6" xr:uid="{4FF9EB84-6DB7-4782-B3A9-1D9B19673B12}"/>
    <hyperlink ref="B593" r:id="rId513" display="https://map.naver.com/v5/search/%EC%9D%B8%EC%B2%9C %EB%82%A8%EB%8F%99%EA%B5%AC %EA%B0%84%EC%84%9D%EB%8F%99 915-5" xr:uid="{1204C0B1-9CD3-4C80-B018-D21E41E6AAC2}"/>
    <hyperlink ref="B594" r:id="rId514" display="https://map.naver.com/v5/search/%EC%9D%B8%EC%B2%9C %EB%B6%80%ED%8F%89%EA%B5%AC %EC%B2%AD%EC%B2%9C%EB%8F%99 15-30" xr:uid="{EA879CCC-02A7-4AC4-9DD2-29EF414D34B8}"/>
    <hyperlink ref="B595" r:id="rId515" display="https://map.naver.com/v5/search/%EC%9D%B8%EC%B2%9C %EA%B3%84%EC%96%91%EA%B5%AC %EA%B3%84%EC%82%B0%EB%8F%99 1076-12" xr:uid="{B948884F-0055-46D9-A304-B59D0E151236}"/>
    <hyperlink ref="B596" r:id="rId516" display="https://map.naver.com/v5/search/%EC%9D%B8%EC%B2%9C %EA%B3%84%EC%96%91%EA%B5%AC %EA%B3%84%EC%82%B0%EB%8F%99 1063-2" xr:uid="{017F03F6-95BD-4964-ABEF-BA2D7011637D}"/>
    <hyperlink ref="B597" r:id="rId517" display="https://map.naver.com/v5/search/%EC%9D%B8%EC%B2%9C %EA%B3%84%EC%96%91%EA%B5%AC %EC%9E%91%EC%A0%84%EB%8F%99 854-14" xr:uid="{5A2DDE0A-AACA-43D5-ABC7-F53649759B07}"/>
    <hyperlink ref="B598" r:id="rId518" display="https://map.naver.com/v5/search/%EC%9D%B8%EC%B2%9C %EC%84%9C%EA%B5%AC %EC%84%9D%EB%82%A8%EB%8F%99 539-7" xr:uid="{53A47BE5-D302-4A92-B478-2E61BD89ECC8}"/>
    <hyperlink ref="B599" r:id="rId519" display="https://map.naver.com/v5/search/%EC%9D%B8%EC%B2%9C %EC%84%9C%EA%B5%AC %EC%8B%AC%EA%B3%A1%EB%8F%99 280-4" xr:uid="{BBA42247-F4AA-4751-BDFD-82C7B4F982CD}"/>
    <hyperlink ref="B600" r:id="rId520" display="https://map.naver.com/v5/search/%EC%9D%B8%EC%B2%9C %EC%84%9C%EA%B5%AC %EA%B0%80%EC%A2%8C%EB%8F%99 75-1" xr:uid="{B6CE641D-DA4D-455C-9001-8C7F0ED62B56}"/>
    <hyperlink ref="B601" r:id="rId521" display="https://map.naver.com/v5/search/%EC%9D%B8%EC%B2%9C %EB%B6%80%ED%8F%89%EA%B5%AC %EC%B2%AD%EC%B2%9C%EB%8F%99 191-33" xr:uid="{6420B5AF-C67D-4EEB-9E81-D23EC4A7D8BB}"/>
    <hyperlink ref="B602" r:id="rId522" display="https://map.naver.com/v5/search/%EC%9D%B8%EC%B2%9C %EB%B6%80%ED%8F%89%EA%B5%AC %EC%82%BC%EC%82%B0%EB%8F%99 427-8" xr:uid="{85AE47B2-68E3-4D19-AF94-CCF3D7A2FAA5}"/>
    <hyperlink ref="B605" r:id="rId523" display="https://map.naver.com/v5/search/%ED%99%94%EC%84%B1%EC%8B%9C %EB%B3%91%EC%A0%90%EB%8F%99 844-2" xr:uid="{501D66C3-4844-4AF1-B244-C4259CBA3278}"/>
    <hyperlink ref="B606" r:id="rId524" display="https://map.naver.com/v5/search/%ED%99%94%EC%84%B1%EC%8B%9C %EC%A7%84%EC%95%88%EB%8F%99 877-8" xr:uid="{8B849398-7AAD-440B-B93B-39FA31BF7302}"/>
    <hyperlink ref="B607" r:id="rId525" display="https://map.naver.com/v5/search/%ED%99%94%EC%84%B1%EC%8B%9C %EC%A7%84%EC%95%88%EB%8F%99 881-1" xr:uid="{B290CCE1-F842-4F92-8122-065B891B8358}"/>
    <hyperlink ref="B608" r:id="rId526" display="https://map.naver.com/v5/search/%ED%99%94%EC%84%B1%EC%8B%9C %EC%A7%84%EC%95%88%EB%8F%99 877-1" xr:uid="{8F6C047E-CDE9-4CAA-8127-BE07DA22BDE4}"/>
    <hyperlink ref="B609" r:id="rId527" display="https://map.naver.com/v5/search/%ED%99%94%EC%84%B1%EC%8B%9C %EC%A7%84%EC%95%88%EB%8F%99 876-1" xr:uid="{953FC463-9645-42FD-AC85-31B9A63A7D3D}"/>
    <hyperlink ref="B610" r:id="rId528" display="https://map.naver.com/v5/search/%EC%9D%B8%EC%B2%9C %EA%B3%84%EC%96%91%EA%B5%AC %EC%9A%A9%EC%A2%85%EB%8F%99 210-4" xr:uid="{175C35A1-1E86-4F59-A747-00F279BA4FEE}"/>
    <hyperlink ref="B611" r:id="rId529" display="https://map.naver.com/v5/search/%EC%9D%B8%EC%B2%9C %EA%B3%84%EC%96%91%EA%B5%AC %EC%9A%A9%EC%A2%85%EB%8F%99 211-8" xr:uid="{93351FB1-AEB7-4BC1-85F9-001299100B7C}"/>
    <hyperlink ref="B612" r:id="rId530" display="https://map.naver.com/v5/search/%EC%9D%B8%EC%B2%9C %EA%B3%84%EC%96%91%EA%B5%AC %EC%9A%A9%EC%A2%85%EB%8F%99 211-6" xr:uid="{CB25D045-A2D0-4B22-A332-DCE3B9206B78}"/>
    <hyperlink ref="B613" r:id="rId531" display="https://map.naver.com/v5/search/%EC%9D%B8%EC%B2%9C %EA%B3%84%EC%96%91%EA%B5%AC %EA%B3%84%EC%82%B0%EB%8F%99 1081-4" xr:uid="{FC2D9F4B-05EE-4CDD-AFBB-41FFD0E1F8CA}"/>
    <hyperlink ref="B614" r:id="rId532" display="https://map.naver.com/v5/search/%EC%9D%B8%EC%B2%9C %EA%B3%84%EC%96%91%EA%B5%AC %EA%B3%84%EC%82%B0%EB%8F%99 1081-10" xr:uid="{9346D374-CABA-4D22-ABF3-0E4410377960}"/>
    <hyperlink ref="B615" r:id="rId533" display="https://map.naver.com/v5/search/%EC%9D%B8%EC%B2%9C %EA%B3%84%EC%96%91%EA%B5%AC %EA%B3%84%EC%82%B0%EB%8F%99 1081-10 %EC%A7%AC%EB%BD%95%EC%97%90%EB%B0%98%ED%95%98%EB%8B%A4" xr:uid="{DCA50A0B-143F-40EE-A711-C15695502819}"/>
    <hyperlink ref="B616" r:id="rId534" display="https://map.naver.com/v5/search/%EC%9D%B8%EC%B2%9C %EA%B3%84%EC%96%91%EA%B5%AC %EC%9A%A9%EC%A2%85%EB%8F%99 209" xr:uid="{6EB25F7E-2935-4C69-91D2-07AE43689EB9}"/>
    <hyperlink ref="B617" r:id="rId535" display="https://map.naver.com/v5/search/%EC%84%9C%EC%B4%88%EA%B5%AC %EB%B0%A9%EB%B0%B0%EB%8F%99 985-13" xr:uid="{E06E1C3F-537F-4879-99C1-4BFD967F69B4}"/>
    <hyperlink ref="B618" r:id="rId536" display="https://map.naver.com/v5/search/%EC%84%9C%EC%B4%88%EA%B5%AC %EB%B0%A9%EB%B0%B0%EB%8F%99 985-2" xr:uid="{9135326E-3477-4573-97EB-1D9C29BC9DBC}"/>
    <hyperlink ref="B619" r:id="rId537" display="https://map.naver.com/v5/search/%EC%84%9C%EC%B4%88%EA%B5%AC %EB%B0%A9%EB%B0%B0%EB%8F%99 923-6" xr:uid="{D71D27FC-845E-42C5-A3CE-6C8564D2F146}"/>
    <hyperlink ref="B620" r:id="rId538" display="https://map.naver.com/v5/search/%EA%B0%95%EB%8F%99%EA%B5%AC %EC%83%81%EC%9D%BC%EB%8F%99 256" xr:uid="{08E2C59E-5A0C-4A5F-A6DB-C6AC7E1DC073}"/>
    <hyperlink ref="B621" r:id="rId539" display="https://map.naver.com/v5/search/%ED%99%94%EC%84%B1%EC%8B%9C %EC%A7%84%EC%95%88%EB%8F%99 913" xr:uid="{5BC76739-72FC-46BE-A4BF-4244C6D9624C}"/>
    <hyperlink ref="B622" r:id="rId540" display="https://map.naver.com/v5/search/%EA%B0%95%EB%8F%99%EA%B5%AC %EB%AA%85%EC%9D%BC%EB%8F%99 48-5" xr:uid="{4567282C-890E-4DC6-BED2-514227F6F422}"/>
    <hyperlink ref="B623" r:id="rId541" display="https://map.naver.com/v5/search/%EA%B0%95%EB%8F%99%EA%B5%AC %EB%91%94%EC%B4%8C%EB%8F%99 105-10" xr:uid="{5CD6D46F-22F4-4DF4-8EEE-37BCF11515AC}"/>
    <hyperlink ref="B624" r:id="rId542" display="https://map.naver.com/v5/search/%ED%99%94%EC%84%B1%EC%8B%9C %EB%8F%99%ED%83%84%EA%B5%AC %EC%98%81%EC%B2%9C%EB%8F%99 804-6" xr:uid="{1AF103D5-C86D-4A4B-A7EB-FE9127CE0D7B}"/>
    <hyperlink ref="B625" r:id="rId543" display="https://map.naver.com/v5/search/%ED%99%94%EC%84%B1%EC%8B%9C %EB%8F%99%ED%83%84%EA%B5%AC %EC%98%81%EC%B2%9C%EB%8F%99 792-1" xr:uid="{EA8F8374-687C-430F-92C9-4001CCCCCA0F}"/>
    <hyperlink ref="B626" r:id="rId544" display="https://map.naver.com/v5/search/%EC%9D%B8%EC%B2%9C %EB%B6%80%ED%8F%89%EA%B5%AC %EC%B2%AD%EC%B2%9C%EB%8F%99 440-4" xr:uid="{A628B636-9D8D-4090-B16C-780145CDC738}"/>
    <hyperlink ref="B627" r:id="rId545" display="https://map.naver.com/v5/search/%EA%B5%B0%ED%8F%AC%EC%8B%9C %EC%82%B0%EB%B3%B8%EB%8F%99 1142-2" xr:uid="{80E9D8C0-2AD8-456C-A543-4C7AB21324B5}"/>
    <hyperlink ref="B628" r:id="rId546" display="https://map.naver.com/v5/search/%EA%B5%B0%ED%8F%AC%EC%8B%9C %EA%B8%88%EC%A0%95%EB%8F%99 874" xr:uid="{C43330CA-4D05-4F63-B3C7-691B446BDBCE}"/>
    <hyperlink ref="B629" r:id="rId547" display="https://map.naver.com/v5/search/%EA%B5%B0%ED%8F%AC%EC%8B%9C %EC%82%B0%EB%B3%B8%EB%8F%99 1128-1" xr:uid="{A3C84417-AB3A-4625-A7E5-CC3760ECEE2B}"/>
    <hyperlink ref="B630" r:id="rId548" display="https://map.naver.com/v5/search/%EA%B9%80%ED%8F%AC%EC%8B%9C %EB%A7%88%EC%82%B0%EB%8F%99 650-2" xr:uid="{6DEB02D2-F1AB-433A-81C3-42169A63BC56}"/>
    <hyperlink ref="B631" r:id="rId549" display="https://map.naver.com/v5/search/%EB%A7%88%ED%8F%AC%EA%B5%AC %EC%95%84%ED%98%84%EB%8F%99 331-6" xr:uid="{952AFDB9-B120-4E06-A41B-9EBAE71AD485}"/>
    <hyperlink ref="B632" r:id="rId550" display="https://map.naver.com/v5/search/%EC%84%9C%EB%8C%80%EB%AC%B8%EA%B5%AC %EC%97%B0%ED%9D%AC%EB%8F%99 121-14" xr:uid="{DE25A547-5C82-4BD4-80A8-CC4521DA66B3}"/>
    <hyperlink ref="B633" r:id="rId551" display="https://map.naver.com/v5/search/%EC%84%9C%EB%8C%80%EB%AC%B8%EA%B5%AC %EC%97%B0%ED%9D%AC%EB%8F%99 76-24" xr:uid="{B2DED0BA-7AB5-4325-82EA-7048CCB3054D}"/>
    <hyperlink ref="B634" r:id="rId552" display="https://map.naver.com/v5/search/%EC%84%9C%EB%8C%80%EB%AC%B8%EA%B5%AC %EC%97%B0%ED%9D%AC%EB%8F%99 78-20" xr:uid="{32515675-0E5F-4324-9315-990B5BB98D7D}"/>
    <hyperlink ref="B635" r:id="rId553" display="https://map.naver.com/v5/search/%EC%84%9C%EB%8C%80%EB%AC%B8%EA%B5%AC %EC%97%B0%ED%9D%AC%EB%8F%99 81-11" xr:uid="{487CCBA7-8E57-4684-87F2-888FCCF4484A}"/>
    <hyperlink ref="B636" r:id="rId554" display="https://map.naver.com/v5/search/%EC%84%9C%EB%8C%80%EB%AC%B8%EA%B5%AC %EC%97%B0%ED%9D%AC%EB%8F%99 287-16" xr:uid="{21F96B33-81F8-4532-82DA-FB0DE70A1181}"/>
    <hyperlink ref="B637" r:id="rId555" display="https://map.naver.com/v5/search/%EC%84%9C%EB%8C%80%EB%AC%B8%EA%B5%AC %ED%99%8D%EC%9D%80%EB%8F%99 464" xr:uid="{028E27B6-21CD-4D54-953F-453FE920FD99}"/>
    <hyperlink ref="B638" r:id="rId556" display="https://map.naver.com/v5/search/%EC%84%9C%EB%8C%80%EB%AC%B8%EA%B5%AC %ED%99%8D%EC%9D%80%EB%8F%99 217-30" xr:uid="{AD24C11F-F03D-4EF8-8BC6-F147C9F5BC14}"/>
    <hyperlink ref="B639" r:id="rId557" display="https://map.naver.com/v5/search/%EC%84%9C%EB%8C%80%EB%AC%B8%EA%B5%AC %ED%99%8D%EC%9D%80%EB%8F%99 294-36" xr:uid="{0B0A207A-30C7-4CE4-8A50-6A1DD5047E7E}"/>
    <hyperlink ref="B640" r:id="rId558" display="https://map.naver.com/v5/search/%EC%84%9C%EB%8C%80%EB%AC%B8%EA%B5%AC %ED%99%8D%EC%A0%9C%EB%8F%99 305-3 %EB%8A%98%EB%B4%84%EC%B6%95%EC%82%B0" xr:uid="{025A9D36-82C9-4766-A2F9-FDF2B00F9421}"/>
    <hyperlink ref="B641" r:id="rId559" display="https://map.naver.com/v5/search/%EC%84%9C%EB%8C%80%EB%AC%B8%EA%B5%AC %ED%99%8D%EC%A0%9C%EB%8F%99 305-3 %ED%8B%B0%EC%9B%94%EB%93%9C" xr:uid="{69B36C12-6C35-4C6A-BECD-128AFD74E7C6}"/>
    <hyperlink ref="B642" r:id="rId560" display="https://map.naver.com/v5/search/%EB%A7%88%ED%8F%AC%EA%B5%AC %EB%8F%84%ED%99%94%EB%8F%99 204-9" xr:uid="{24FE0C19-3A7B-48FB-8804-058A63B28C5F}"/>
    <hyperlink ref="B643" r:id="rId561" display="https://map.naver.com/v5/search/%EB%A7%88%ED%8F%AC%EA%B5%AC %EB%A7%9D%EC%9B%90%EB%8F%99 453-39" xr:uid="{2CA03308-9E1E-4A23-9CB6-515F7B9E6172}"/>
    <hyperlink ref="B644" r:id="rId562" display="https://map.naver.com/v5/search/%EC%9D%80%ED%8F%89%EA%B5%AC %EB%8C%80%EC%A1%B0%EB%8F%99 179-48" xr:uid="{2F99EF13-A83F-4B5A-AE65-2A23DCE940EF}"/>
    <hyperlink ref="B645" r:id="rId563" display="https://map.naver.com/v5/search/%EC%9D%80%ED%8F%89%EA%B5%AC %EC%9D%91%EC%95%94%EB%8F%99 584-37" xr:uid="{4FE485F3-B233-4A1E-9FEB-E32FA4923386}"/>
    <hyperlink ref="B648" r:id="rId564" display="https://map.naver.com/v5/search/%EB%A7%88%ED%8F%AC%EA%B5%AC %EC%83%81%EC%95%94%EB%8F%99 115-10" xr:uid="{CDBDC958-E77E-4312-9E28-D5CCB419A2AA}"/>
    <hyperlink ref="B649" r:id="rId565" display="https://map.naver.com/v5/search/%EB%A7%88%ED%8F%AC%EA%B5%AC %EC%83%81%EC%95%94%EB%8F%99 30-2" xr:uid="{6CE514B2-3606-4129-A5EE-87A28C9B474C}"/>
    <hyperlink ref="B650" r:id="rId566" display="https://map.naver.com/v5/search/%EB%A7%88%ED%8F%AC%EA%B5%AC %EC%83%81%EC%95%94%EB%8F%99 40-2" xr:uid="{83E8E1F7-3749-4F95-A00C-7F086E0F6B39}"/>
    <hyperlink ref="B651" r:id="rId567" display="https://map.naver.com/v5/search/%EC%9D%80%ED%8F%89%EA%B5%AC %EC%9D%91%EC%95%94%EB%8F%99 592-62" xr:uid="{27832444-C332-4765-AEA9-FB039A742BC1}"/>
    <hyperlink ref="B652" r:id="rId568" display="https://map.naver.com/v5/search/%EC%9D%80%ED%8F%89%EA%B5%AC %EC%9D%91%EC%95%94%EB%8F%99 591-39" xr:uid="{1077247F-C77C-4281-B6D3-C1FCF60835B9}"/>
    <hyperlink ref="B653" r:id="rId569" display="https://map.naver.com/v5/search/%EC%9D%80%ED%8F%89%EA%B5%AC %EC%9D%91%EC%95%94%EB%8F%99 110-13" xr:uid="{5455E745-1D87-4A90-B6D0-D2E8534EBDEA}"/>
    <hyperlink ref="B654" r:id="rId570" display="https://map.naver.com/v5/search/%EC%9D%80%ED%8F%89%EA%B5%AC %EC%9D%91%EC%95%94%EB%8F%99 107-12" xr:uid="{5B92449D-AFB0-4DCE-B4B6-4CED15F676BC}"/>
    <hyperlink ref="B655" r:id="rId571" display="https://map.naver.com/v5/search/%EC%9D%80%ED%8F%89%EA%B5%AC %EC%9D%91%EC%95%94%EB%8F%99 577-40" xr:uid="{1FC7C02A-B0FE-4F1F-809E-9C8525E8CAE9}"/>
    <hyperlink ref="B656" r:id="rId572" display="https://map.naver.com/v5/search/%EC%9D%80%ED%8F%89%EA%B5%AC %EC%9D%91%EC%95%94%EB%8F%99 577-30" xr:uid="{2B43B488-FAD3-4956-BF51-55773EA84A00}"/>
    <hyperlink ref="B657" r:id="rId573" display="https://map.naver.com/v5/search/%EC%9D%80%ED%8F%89%EA%B5%AC %EC%9D%91%EC%95%94%EB%8F%99 595-53" xr:uid="{13BB9E3A-6E0E-40DD-93FC-7CA4404833CD}"/>
    <hyperlink ref="B658" r:id="rId574" display="https://map.naver.com/v5/search/%EC%9D%80%ED%8F%89%EA%B5%AC %EC%8B%A0%EC%82%AC%EB%8F%99 35-20" xr:uid="{1E031B3F-4EC1-4106-8A63-C26F1E7F18E1}"/>
    <hyperlink ref="B659" r:id="rId575" display="https://map.naver.com/v5/search/%EC%9D%80%ED%8F%89%EA%B5%AC %EC%9D%91%EC%95%94%EB%8F%99 110-9" xr:uid="{8FFCD2F6-0CAF-4CAC-B139-AE4E399E070A}"/>
    <hyperlink ref="B660" r:id="rId576" display="https://map.naver.com/v5/search/%EC%9D%80%ED%8F%89%EA%B5%AC %EC%8B%A0%EC%82%AC%EB%8F%99 34-8" xr:uid="{A667229A-3657-4982-BB94-AA0B4C6A982F}"/>
    <hyperlink ref="B661" r:id="rId577" display="https://map.naver.com/v5/search/%EC%9D%80%ED%8F%89%EA%B5%AC %EB%8C%80%EC%A1%B0%EB%8F%99 45" xr:uid="{58D24BE4-8C49-4167-BB84-D1FEAB01A879}"/>
    <hyperlink ref="B662" r:id="rId578" display="https://map.naver.com/v5/search/%EC%9D%80%ED%8F%89%EA%B5%AC %EB%B6%88%EA%B4%91%EB%8F%99 290-12" xr:uid="{3A7E23D9-927D-4EAE-BC1B-61964EBEDA1B}"/>
    <hyperlink ref="B663" r:id="rId579" display="https://map.naver.com/v5/search/%EC%9D%80%ED%8F%89%EA%B5%AC %EB%B6%88%EA%B4%91%EB%8F%99 290-12" xr:uid="{7C84155A-AC34-4F29-8A4C-B9A399E3915F}"/>
    <hyperlink ref="B664" r:id="rId580" display="https://map.naver.com/v5/search/%EC%9D%B8%EC%B2%9C %EA%B3%84%EC%96%91%EA%B5%AC %EC%9A%A9%EC%A2%85%EB%8F%99 210-4" xr:uid="{96836851-FB5E-460B-B743-9E018A569264}"/>
    <hyperlink ref="B665" r:id="rId581" display="https://map.naver.com/v5/search/%EC%9D%B8%EC%B2%9C %EA%B3%84%EC%96%91%EA%B5%AC %EC%9A%A9%EC%A2%85%EB%8F%99 212-5" xr:uid="{8A76D3E7-D53B-422A-BBB5-C8A6C314BC31}"/>
    <hyperlink ref="B666" r:id="rId582" display="https://map.naver.com/v5/search/%EC%9D%B8%EC%B2%9C %EA%B3%84%EC%96%91%EA%B5%AC %EC%9A%A9%EC%A2%85%EB%8F%99 212-4" xr:uid="{0B5D30DE-C04A-48F9-9586-8E0655A80FA7}"/>
    <hyperlink ref="B667" r:id="rId583" display="https://map.naver.com/v5/search/%EC%9D%80%ED%8F%89%EA%B5%AC %EA%B5%AC%EC%82%B0%EB%8F%99 1-24" xr:uid="{C3F15B3B-D916-4B05-9AF4-7988A10125B0}"/>
    <hyperlink ref="B668" r:id="rId584" display="https://map.naver.com/v5/search/%EA%B5%B0%ED%8F%AC%EC%8B%9C %EC%82%B0%EB%B3%B8%EB%8F%99 1134-2" xr:uid="{B718B1B5-EED1-4A7A-8EF0-5076FCE1B345}"/>
    <hyperlink ref="B671" r:id="rId585" display="https://map.naver.com/v5/search/%EB%A7%88%ED%8F%AC%EA%B5%AC %ED%95%A9%EC%A0%95%EB%8F%99 362-8" xr:uid="{726DE834-B93A-48DD-BD4E-DB481E092B63}"/>
    <hyperlink ref="B672" r:id="rId586" display="https://map.naver.com/v5/search/%EB%A7%88%ED%8F%AC%EA%B5%AC %EC%84%9C%EA%B5%90%EB%8F%99 396-46" xr:uid="{588C84A7-FDE9-4384-A371-A88A53C650B6}"/>
    <hyperlink ref="B673" r:id="rId587" display="https://map.naver.com/v5/search/%EB%A7%88%ED%8F%AC%EA%B5%AC %ED%95%A9%EC%A0%95%EB%8F%99 354-22" xr:uid="{C27B8ABE-82BF-49CA-A7F5-A2DC0FDF59FB}"/>
    <hyperlink ref="B674" r:id="rId588" display="https://map.naver.com/v5/search/%EB%A7%88%ED%8F%AC%EA%B5%AC %ED%95%A9%EC%A0%95%EB%8F%99 354-22" xr:uid="{ACE7E94B-E95F-4E19-9A3F-0EEBE615B2FE}"/>
    <hyperlink ref="B675" r:id="rId589" display="https://map.naver.com/v5/search/%EB%A7%88%ED%8F%AC%EA%B5%AC %ED%95%A9%EC%A0%95%EB%8F%99 354-22" xr:uid="{236BA120-E92D-406B-B25D-046EA14EFA7A}"/>
    <hyperlink ref="B676" r:id="rId590" display="https://map.naver.com/v5/search/%EB%A7%88%ED%8F%AC%EA%B5%AC %EC%83%81%EC%88%98%EB%8F%99 309-2" xr:uid="{8603DDE6-6E4E-4CB1-8E6F-2E6047FFA9AC}"/>
    <hyperlink ref="B677" r:id="rId591" display="https://map.naver.com/v5/search/%EB%A7%88%ED%8F%AC%EA%B5%AC %EC%84%9C%EA%B5%90%EB%8F%99 366-25" xr:uid="{1D30833F-B820-4583-A754-87FE063C6C8F}"/>
    <hyperlink ref="B678" r:id="rId592" display="https://map.naver.com/v5/search/%EB%A7%88%ED%8F%AC%EA%B5%AC %EC%84%B1%EC%82%B0%EB%8F%99 263-4" xr:uid="{67829681-1328-4962-A550-C8AFF6D5879D}"/>
    <hyperlink ref="B679" r:id="rId593" display="https://map.naver.com/v5/search/%EB%A7%88%ED%8F%AC%EA%B5%AC %EB%A7%9D%EC%9B%90%EB%8F%99 379-3" xr:uid="{A9653CD7-77A5-4B60-82D2-F46E7AF507A9}"/>
    <hyperlink ref="B680" r:id="rId594" display="https://map.naver.com/v5/search/%EB%A7%88%ED%8F%AC%EA%B5%AC %EB%A7%9D%EC%9B%90%EB%8F%99 379-7" xr:uid="{3C1BFABC-CD69-4696-8539-2EB851909BD0}"/>
    <hyperlink ref="B681" r:id="rId595" display="https://map.naver.com/v5/search/%EB%A7%88%ED%8F%AC%EA%B5%AC %ED%95%A9%EC%A0%95%EB%8F%99 427-3" xr:uid="{DACC1F10-D8E8-4BB4-B8A6-593CD9B8A19A}"/>
    <hyperlink ref="B682" r:id="rId596" display="https://map.naver.com/v5/search/%EB%A7%88%ED%8F%AC%EA%B5%AC %ED%95%A9%EC%A0%95%EB%8F%99 426-20" xr:uid="{E5AE0B1A-4257-4C10-88A5-5D34507261A9}"/>
    <hyperlink ref="B683" r:id="rId597" display="https://map.naver.com/v5/search/%EB%A7%88%ED%8F%AC%EA%B5%AC %EB%A7%9D%EC%9B%90%EB%8F%99 477-12" xr:uid="{0882798B-D087-4E1F-BA57-2BEFA020AD2A}"/>
    <hyperlink ref="B684" r:id="rId598" display="https://map.naver.com/v5/search/%EB%A7%88%ED%8F%AC%EA%B5%AC %EB%A7%9D%EC%9B%90%EB%8F%99 378-13" xr:uid="{2D054AD6-D8DB-4AA0-9FF1-816CCB551D81}"/>
    <hyperlink ref="B685" r:id="rId599" display="https://map.naver.com/v5/search/%EB%A7%88%ED%8F%AC%EA%B5%AC %EA%B5%AC%EC%88%98%EB%8F%99 14" xr:uid="{9AA12D32-2163-4301-80DA-FFAF395BCA3D}"/>
    <hyperlink ref="B686" r:id="rId600" display="https://map.naver.com/v5/search/%EB%A7%88%ED%8F%AC%EA%B5%AC %EC%8B%A0%EC%A0%95%EB%8F%99 28-2" xr:uid="{7BF55658-92FC-4DC4-8A9B-762AF7028B51}"/>
    <hyperlink ref="B689" r:id="rId601" display="https://map.naver.com/v5/search/%EC%88%98%EC%9B%90%EC%8B%9C %EA%B6%8C%EC%84%A0%EA%B5%AC %ED%83%91%EB%8F%99 356-8" xr:uid="{CF9C35AD-D8F1-46A0-94A6-36F5B5AEF466}"/>
    <hyperlink ref="B690" r:id="rId602" display="https://map.naver.com/v5/search/%EC%95%88%EC%82%B0 %EC%84%A0%EB%B6%80%EA%B4%91%EC%9E%A5%EB%B6%81%EB%A1%9C 36" xr:uid="{836B3898-BD4A-46E5-9691-66A37B966985}"/>
    <hyperlink ref="B691" r:id="rId603" display="https://map.naver.com/v5/search/%EC%95%88%EC%82%B0 %EC%84%A0%EB%B6%80%EB%8F%99 1188" xr:uid="{36E2A592-310C-4163-9DC6-F42F8D235BD2}"/>
    <hyperlink ref="B692" r:id="rId604" display="https://map.naver.com/v5/search/%EC%95%88%EC%82%B0 %EC%B4%88%EC%A7%80%EB%8F%99 803" xr:uid="{BFB55C53-F3AE-4ACD-8713-2FD9B02DDC61}"/>
    <hyperlink ref="B693" r:id="rId605" display="https://map.naver.com/v5/search/%EC%95%88%EC%82%B0 %EC%84%A0%EB%B6%80%EB%8F%99 1081" xr:uid="{44C6BDFA-FC4C-4C67-8F55-14668D5A879F}"/>
    <hyperlink ref="B694" r:id="rId606" display="https://map.naver.com/v5/search/%EB%B6%80%EC%B2%9C %EC%A4%91%EB%8F%99 1140-4" xr:uid="{E13F33D3-321E-48FE-B36D-A985A6C15936}"/>
    <hyperlink ref="B695" r:id="rId607" display="https://map.naver.com/v5/search/%EC%8B%9C%ED%9D%A5 %EC%9E%A5%EA%B3%A1%EB%8F%99 904-2" xr:uid="{C90F622D-1F49-4D8F-982E-61CA8DFE88DA}"/>
    <hyperlink ref="B696" r:id="rId608" display="https://map.naver.com/v5/search/%EA%B9%80%ED%8F%AC %EC%9E%A5%EA%B8%B0%EB%8F%99 1911-4" xr:uid="{795925E6-AF16-48BA-B65E-193CC5D8D87B}"/>
    <hyperlink ref="B697" r:id="rId609" display="https://map.naver.com/v5/search/%EA%B9%80%ED%8F%AC %ED%92%8D%EB%AC%B4%EB%A1%9C 104" xr:uid="{3E82DCA3-7CCA-4A43-BD86-F20B62833E44}"/>
    <hyperlink ref="B698" r:id="rId610" display="https://map.naver.com/v5/search/%EC%95%88%EC%82%B0 %EA%B3%A0%EC%9E%94%EB%8F%99 531-2" xr:uid="{795CF6D1-1997-4537-AD46-117A0D1CF862}"/>
    <hyperlink ref="B699" r:id="rId611" display="https://map.naver.com/v5/search/%EC%95%88%EC%82%B0 %EA%B3%A0%EC%9E%94%EB%8F%99 732-2" xr:uid="{AAB42830-7055-4577-B379-428E11F17F1A}"/>
    <hyperlink ref="B700" r:id="rId612" display="https://map.naver.com/v5/search/%EB%A7%88%ED%8F%AC%EA%B5%AC %EC%84%B1%EC%82%B0%EB%8F%99 263-4" xr:uid="{46E0DE2A-BD80-435B-BF0F-426B6E3415C9}"/>
    <hyperlink ref="B701" r:id="rId613" display="https://map.naver.com/v5/search/%EB%A7%88%ED%8F%AC%EA%B5%AC %EC%84%B1%EC%82%B0%EB%8F%99 260-8" xr:uid="{1268D1C3-0267-482C-A81E-85AC42186F0D}"/>
    <hyperlink ref="B702" r:id="rId614" display="https://map.naver.com/v5/search/%EA%B0%95%EB%82%A8%EA%B5%AC %EB%8C%80%EC%B9%98%EB%8F%99 936-25" xr:uid="{5E55DB6A-3D26-4AFF-B452-D55A9CC219FF}"/>
    <hyperlink ref="B703" r:id="rId615" display="https://map.naver.com/v5/search/%ED%95%98%EB%82%A8 %EC%B0%BD%EC%9A%B0%EB%8F%99 51-59" xr:uid="{23DF85AC-B7E3-409F-9D3F-8F68D95A2832}"/>
    <hyperlink ref="B704" r:id="rId616" display="https://map.naver.com/v5/search/%EA%B0%95%EB%82%A8%EA%B5%AC %EB%8C%80%EC%B9%98%EB%8F%99 1021-14" xr:uid="{1372FC61-1F7B-4BE2-9F12-C07F2A031BB6}"/>
    <hyperlink ref="B705" r:id="rId617" display="https://map.naver.com/v5/search/%EA%B0%95%EB%82%A8%EA%B5%AC %EB%8C%80%EC%B9%98%EB%8F%99 932-4" xr:uid="{DE1AB847-BFF9-42E8-85C4-AE6E847C1629}"/>
    <hyperlink ref="B706" r:id="rId618" display="https://map.naver.com/v5/search/%EA%B0%95%EB%82%A8%EA%B5%AC %EB%8C%80%EC%B9%98%EB%8F%99 938" xr:uid="{7ACCDDA3-2126-4DB2-AE82-DD69883B7038}"/>
    <hyperlink ref="B707" r:id="rId619" display="https://map.naver.com/v5/search/%EA%B0%95%EB%82%A8%EA%B5%AC %EB%8C%80%EC%B9%98%EB%8F%99 1019-13" xr:uid="{7E3D462A-0E1E-4B5F-9FCD-8D554220D8B1}"/>
    <hyperlink ref="B708" r:id="rId620" display="https://map.naver.com/v5/search/%EA%B0%95%EB%82%A8%EA%B5%AC %EB%8C%80%EC%B9%98%EB%8F%99 990" xr:uid="{AAC45B66-7C8B-42AF-AC5C-FB974D1981DC}"/>
    <hyperlink ref="B709" r:id="rId621" display="https://map.naver.com/v5/search/%EA%B0%95%EB%82%A8%EA%B5%AC %EB%8C%80%EC%B9%98%EB%8F%99 916-24" xr:uid="{CFC0C039-4B59-4071-9F66-0CFE9910FBFF}"/>
    <hyperlink ref="B710" r:id="rId622" display="https://map.naver.com/v5/search/%EB%A7%88%ED%8F%AC%EA%B5%AC %EC%95%84%ED%98%84%EB%8F%99 395-1" xr:uid="{11641136-8007-46EC-92C7-68965FBE5023}"/>
    <hyperlink ref="B711" r:id="rId623" display="https://map.naver.com/v5/search/%EB%A7%88%ED%8F%AC%EA%B5%AC %EC%9A%A9%EA%B0%95%EB%8F%99 38-1" xr:uid="{127BB361-868B-425D-B49B-BA20CF9289B8}"/>
    <hyperlink ref="B712" r:id="rId624" display="https://map.naver.com/v5/search/%EA%B0%95%EB%82%A8%EA%B5%AC %EC%97%AD%EC%82%BC%EB%8F%99 673-27" xr:uid="{E4459C7D-91F3-443E-A4EF-AE8BDCFC3F7B}"/>
    <hyperlink ref="B713" r:id="rId625" display="https://map.naver.com/v5/search/%EC%95%88%EC%82%B0 %EA%B3%A0%EC%9E%94%EB%8F%99 541-1" xr:uid="{1760A463-FEBA-4626-9952-505241ABAF4E}"/>
    <hyperlink ref="B714" r:id="rId626" display="https://map.naver.com/v5/search/%EC%95%88%EC%82%B0 %EA%B3%A0%EC%9E%94%EB%8F%99 540-14" xr:uid="{2A4B0CB7-438A-41A6-B694-F023BF480006}"/>
    <hyperlink ref="B715" r:id="rId627" display="https://map.naver.com/v5/search/%EA%B0%95%EB%82%A8%EA%B5%AC %EC%8B%A0%EC%82%AC%EB%8F%99 664-7" xr:uid="{821E7543-F928-4DA3-87FA-F56C87F736B2}"/>
    <hyperlink ref="B789" r:id="rId628" display="https://map.naver.com/p/search/여의도동%2023-10" xr:uid="{662EE972-B996-4265-BD87-2F4B05736A64}"/>
  </hyperlinks>
  <pageMargins left="0.7" right="0.7" top="0.75" bottom="0.75" header="0.3" footer="0.3"/>
  <pageSetup paperSize="9" orientation="portrait" r:id="rId629"/>
  <tableParts count="1">
    <tablePart r:id="rId63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FDC3E-3323-4177-8E80-4FC930D963C5}">
  <dimension ref="A1:J6"/>
  <sheetViews>
    <sheetView workbookViewId="0">
      <selection activeCell="A2" sqref="A2:J2"/>
    </sheetView>
  </sheetViews>
  <sheetFormatPr defaultRowHeight="39" customHeight="1"/>
  <cols>
    <col min="1" max="1" width="30.8984375" customWidth="1"/>
    <col min="2" max="2" width="53.69921875" customWidth="1"/>
    <col min="3" max="3" width="9.5" customWidth="1"/>
    <col min="4" max="4" width="31.09765625" customWidth="1"/>
    <col min="10" max="10" width="21.69921875" customWidth="1"/>
  </cols>
  <sheetData>
    <row r="1" spans="1:10" ht="39" customHeight="1">
      <c r="A1" s="13" t="s">
        <v>0</v>
      </c>
      <c r="B1" s="13" t="s">
        <v>925</v>
      </c>
      <c r="C1" s="13" t="s">
        <v>2</v>
      </c>
      <c r="D1" s="13" t="s">
        <v>1453</v>
      </c>
      <c r="E1" s="13" t="s">
        <v>3</v>
      </c>
      <c r="F1" s="13" t="s">
        <v>919</v>
      </c>
      <c r="G1" s="13" t="s">
        <v>920</v>
      </c>
      <c r="H1" s="13" t="s">
        <v>921</v>
      </c>
      <c r="I1" s="13" t="s">
        <v>922</v>
      </c>
      <c r="J1" s="13" t="s">
        <v>8</v>
      </c>
    </row>
    <row r="2" spans="1:10" ht="39" customHeight="1">
      <c r="A2" s="20" t="s">
        <v>3482</v>
      </c>
      <c r="B2" s="21" t="s">
        <v>3483</v>
      </c>
      <c r="C2" s="20" t="s">
        <v>59</v>
      </c>
      <c r="D2" s="20" t="s">
        <v>3484</v>
      </c>
      <c r="E2" s="20">
        <v>17</v>
      </c>
      <c r="F2" s="22">
        <v>50000</v>
      </c>
      <c r="G2" s="22">
        <v>3080</v>
      </c>
      <c r="H2" s="22">
        <v>20000</v>
      </c>
      <c r="I2" s="20" t="s">
        <v>210</v>
      </c>
      <c r="J2" s="20" t="s">
        <v>3485</v>
      </c>
    </row>
    <row r="3" spans="1:10" ht="39" customHeight="1">
      <c r="A3" s="20" t="s">
        <v>3486</v>
      </c>
      <c r="B3" s="21" t="s">
        <v>3487</v>
      </c>
      <c r="C3" s="20" t="s">
        <v>59</v>
      </c>
      <c r="D3" s="20" t="s">
        <v>3488</v>
      </c>
      <c r="E3" s="20">
        <v>15</v>
      </c>
      <c r="F3" s="22">
        <v>30000</v>
      </c>
      <c r="G3" s="22">
        <v>2180</v>
      </c>
      <c r="H3" s="22">
        <v>50000</v>
      </c>
      <c r="I3" s="20" t="s">
        <v>210</v>
      </c>
      <c r="J3" s="20" t="s">
        <v>3489</v>
      </c>
    </row>
    <row r="4" spans="1:10" ht="39" customHeight="1">
      <c r="A4" s="20" t="s">
        <v>3490</v>
      </c>
      <c r="B4" s="21" t="s">
        <v>3491</v>
      </c>
      <c r="C4" s="20" t="s">
        <v>59</v>
      </c>
      <c r="D4" s="20" t="s">
        <v>3492</v>
      </c>
      <c r="E4" s="20">
        <v>20</v>
      </c>
      <c r="F4" s="22">
        <v>30000</v>
      </c>
      <c r="G4" s="22">
        <v>3300</v>
      </c>
      <c r="H4" s="22">
        <v>60000</v>
      </c>
      <c r="I4" s="20" t="s">
        <v>210</v>
      </c>
      <c r="J4" s="20" t="s">
        <v>3493</v>
      </c>
    </row>
    <row r="5" spans="1:10" ht="39" customHeight="1">
      <c r="A5" s="20" t="s">
        <v>3494</v>
      </c>
      <c r="B5" s="21" t="s">
        <v>3495</v>
      </c>
      <c r="C5" s="20" t="s">
        <v>59</v>
      </c>
      <c r="D5" s="20" t="s">
        <v>3496</v>
      </c>
      <c r="E5" s="20">
        <v>24</v>
      </c>
      <c r="F5" s="22">
        <v>40000</v>
      </c>
      <c r="G5" s="22">
        <v>2860</v>
      </c>
      <c r="H5" s="22">
        <v>40000</v>
      </c>
      <c r="I5" s="20" t="s">
        <v>210</v>
      </c>
      <c r="J5" s="20" t="s">
        <v>3497</v>
      </c>
    </row>
    <row r="6" spans="1:10" ht="39" customHeight="1">
      <c r="A6" s="20" t="s">
        <v>3498</v>
      </c>
      <c r="B6" s="21" t="s">
        <v>3499</v>
      </c>
      <c r="C6" s="20" t="s">
        <v>59</v>
      </c>
      <c r="D6" s="20" t="s">
        <v>3500</v>
      </c>
      <c r="E6" s="20">
        <v>15</v>
      </c>
      <c r="F6" s="22">
        <v>30000</v>
      </c>
      <c r="G6" s="22">
        <v>2090</v>
      </c>
      <c r="H6" s="22">
        <v>50000</v>
      </c>
      <c r="I6" s="20" t="s">
        <v>210</v>
      </c>
      <c r="J6" s="20" t="s">
        <v>3497</v>
      </c>
    </row>
  </sheetData>
  <phoneticPr fontId="3" type="noConversion"/>
  <hyperlinks>
    <hyperlink ref="B6" r:id="rId1" display="https://map.naver.com/v5/search/%EA%B4%80%EC%95%85%EA%B5%AC %EC%96%91%EB%85%95%EB%A1%9C23" xr:uid="{9750058F-769B-4A12-A8DC-97588FAE416F}"/>
    <hyperlink ref="B5" r:id="rId2" display="https://map.naver.com/v5/search/%EA%B4%80%EC%95%85%EA%B5%AC %EC%96%91%EB%85%95%EB%A1%9C39" xr:uid="{E5764331-852C-48C2-86DF-909D47031D82}"/>
    <hyperlink ref="B4" r:id="rId3" display="https://map.naver.com/v5/search/%EA%B4%80%EC%95%85%EA%B5%AC %EC%96%91%EB%85%95%EB%A1%9C41-1" xr:uid="{427A4BA1-3311-4D5C-A488-C3818DFA8F81}"/>
    <hyperlink ref="B3" r:id="rId4" display="https://map.naver.com/v5/search/%EA%B8%88%EC%B2%9C%EA%B5%AC %EA%B8%88%ED%95%98%EB%A1%9C638" xr:uid="{EF649D57-60C0-471D-A47F-C1654E1E26F5}"/>
    <hyperlink ref="B2" r:id="rId5" display="https://map.naver.com/v5/search/%EA%B8%88%EC%B2%9C%EA%B5%AC %EC%8B%9C%ED%9D%A5%EB%8C%80%EB%A1%9C52%EA%B8%B870" xr:uid="{B15234C3-EBE3-403F-8BF1-86336055A2B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8A0-635F-48E9-A74F-8C61CB8030B6}">
  <dimension ref="A1:J11"/>
  <sheetViews>
    <sheetView topLeftCell="A13" workbookViewId="0">
      <selection activeCell="H1" sqref="H1:H1048576"/>
    </sheetView>
  </sheetViews>
  <sheetFormatPr defaultColWidth="28.09765625" defaultRowHeight="30.6" customHeight="1"/>
  <cols>
    <col min="1" max="1" width="28.09765625" style="19"/>
    <col min="2" max="2" width="10.69921875" style="19" customWidth="1"/>
    <col min="3" max="3" width="19" style="19" customWidth="1"/>
    <col min="4" max="4" width="17.5" style="19" customWidth="1"/>
    <col min="5" max="5" width="9" style="31" customWidth="1"/>
    <col min="6" max="6" width="13.59765625" style="31" customWidth="1"/>
    <col min="7" max="7" width="9.8984375" style="31" customWidth="1"/>
    <col min="8" max="8" width="11.3984375" style="31" customWidth="1"/>
    <col min="9" max="9" width="62.8984375" style="33" customWidth="1"/>
    <col min="10" max="16384" width="28.09765625" style="31"/>
  </cols>
  <sheetData>
    <row r="1" spans="1:10" ht="30.6" customHeight="1">
      <c r="A1" s="12" t="s">
        <v>1567</v>
      </c>
      <c r="B1" s="14" t="s">
        <v>960</v>
      </c>
      <c r="C1" s="12" t="s">
        <v>59</v>
      </c>
      <c r="D1" s="12" t="s">
        <v>1568</v>
      </c>
      <c r="E1" s="28">
        <v>28</v>
      </c>
      <c r="F1" s="32">
        <v>3000</v>
      </c>
      <c r="G1" s="28">
        <v>230</v>
      </c>
      <c r="H1" s="32">
        <v>6000</v>
      </c>
      <c r="I1" s="17" t="s">
        <v>210</v>
      </c>
      <c r="J1" s="28"/>
    </row>
    <row r="2" spans="1:10" ht="30.6" customHeight="1">
      <c r="A2" s="12" t="s">
        <v>1901</v>
      </c>
      <c r="B2" s="14" t="s">
        <v>925</v>
      </c>
      <c r="C2" s="12" t="s">
        <v>59</v>
      </c>
      <c r="D2" s="12" t="s">
        <v>1902</v>
      </c>
      <c r="E2" s="28">
        <v>40</v>
      </c>
      <c r="F2" s="32">
        <v>5000</v>
      </c>
      <c r="G2" s="28">
        <v>400</v>
      </c>
      <c r="H2" s="32">
        <v>6000</v>
      </c>
      <c r="I2" s="17" t="s">
        <v>1889</v>
      </c>
      <c r="J2" s="28" t="s">
        <v>1903</v>
      </c>
    </row>
    <row r="3" spans="1:10" ht="30.6" customHeight="1">
      <c r="A3" s="12" t="s">
        <v>1567</v>
      </c>
      <c r="B3" s="14" t="s">
        <v>925</v>
      </c>
      <c r="C3" s="12" t="s">
        <v>59</v>
      </c>
      <c r="D3" s="12" t="s">
        <v>1914</v>
      </c>
      <c r="E3" s="28">
        <v>28</v>
      </c>
      <c r="F3" s="32">
        <v>3000</v>
      </c>
      <c r="G3" s="28">
        <v>230</v>
      </c>
      <c r="H3" s="32">
        <v>5000</v>
      </c>
      <c r="I3" s="17" t="s">
        <v>210</v>
      </c>
      <c r="J3" s="28" t="s">
        <v>1915</v>
      </c>
    </row>
    <row r="4" spans="1:10" ht="30.6" customHeight="1">
      <c r="A4" s="12" t="s">
        <v>2243</v>
      </c>
      <c r="B4" s="14" t="s">
        <v>925</v>
      </c>
      <c r="C4" s="12" t="s">
        <v>110</v>
      </c>
      <c r="D4" s="12" t="s">
        <v>2244</v>
      </c>
      <c r="E4" s="28">
        <v>28</v>
      </c>
      <c r="F4" s="32">
        <v>4000</v>
      </c>
      <c r="G4" s="28">
        <v>400</v>
      </c>
      <c r="H4" s="28" t="s">
        <v>930</v>
      </c>
      <c r="I4" s="17" t="s">
        <v>210</v>
      </c>
      <c r="J4" s="28" t="s">
        <v>2245</v>
      </c>
    </row>
    <row r="5" spans="1:10" ht="30.6" customHeight="1">
      <c r="A5" s="12" t="s">
        <v>3326</v>
      </c>
      <c r="B5" s="14" t="s">
        <v>925</v>
      </c>
      <c r="C5" s="12" t="s">
        <v>59</v>
      </c>
      <c r="D5" s="12" t="s">
        <v>3327</v>
      </c>
      <c r="E5" s="28">
        <v>70</v>
      </c>
      <c r="F5" s="28">
        <v>20000</v>
      </c>
      <c r="G5" s="28">
        <v>1500</v>
      </c>
      <c r="H5" s="28">
        <v>2000</v>
      </c>
      <c r="I5" s="17">
        <v>100</v>
      </c>
      <c r="J5" s="28"/>
    </row>
    <row r="6" spans="1:10" s="30" customFormat="1" ht="30.6" customHeight="1">
      <c r="A6" s="8" t="s">
        <v>356</v>
      </c>
      <c r="B6" s="11" t="s">
        <v>960</v>
      </c>
      <c r="C6" s="8" t="s">
        <v>357</v>
      </c>
      <c r="D6" s="2"/>
      <c r="E6" s="29">
        <v>53</v>
      </c>
      <c r="F6" s="29">
        <v>10000</v>
      </c>
      <c r="G6" s="29">
        <v>700</v>
      </c>
      <c r="H6" s="29"/>
      <c r="I6" s="25" t="s">
        <v>358</v>
      </c>
    </row>
    <row r="7" spans="1:10" s="30" customFormat="1" ht="30.6" customHeight="1">
      <c r="A7" s="8" t="s">
        <v>359</v>
      </c>
      <c r="B7" s="11" t="s">
        <v>960</v>
      </c>
      <c r="C7" s="8" t="s">
        <v>59</v>
      </c>
      <c r="D7" s="2"/>
      <c r="E7" s="29">
        <v>42.5</v>
      </c>
      <c r="F7" s="29">
        <v>6000</v>
      </c>
      <c r="G7" s="29">
        <v>850</v>
      </c>
      <c r="H7" s="29"/>
      <c r="I7" s="25" t="s">
        <v>360</v>
      </c>
    </row>
    <row r="8" spans="1:10" s="30" customFormat="1" ht="30.6" customHeight="1">
      <c r="A8" s="8" t="s">
        <v>361</v>
      </c>
      <c r="B8" s="11" t="s">
        <v>960</v>
      </c>
      <c r="C8" s="8" t="s">
        <v>59</v>
      </c>
      <c r="D8" s="2"/>
      <c r="E8" s="29">
        <v>35</v>
      </c>
      <c r="F8" s="29">
        <v>8000</v>
      </c>
      <c r="G8" s="29">
        <v>400</v>
      </c>
      <c r="H8" s="29"/>
      <c r="I8" s="25" t="s">
        <v>362</v>
      </c>
    </row>
    <row r="9" spans="1:10" s="30" customFormat="1" ht="30.6" customHeight="1">
      <c r="A9" s="12" t="s">
        <v>453</v>
      </c>
      <c r="B9" s="14" t="s">
        <v>925</v>
      </c>
      <c r="C9" s="12" t="s">
        <v>59</v>
      </c>
      <c r="D9" s="2"/>
      <c r="E9" s="28">
        <v>35</v>
      </c>
      <c r="F9" s="28">
        <v>4000</v>
      </c>
      <c r="G9" s="28">
        <v>365</v>
      </c>
      <c r="H9" s="28">
        <v>8000</v>
      </c>
      <c r="I9" s="17" t="s">
        <v>454</v>
      </c>
    </row>
    <row r="10" spans="1:10" s="30" customFormat="1" ht="30.6" customHeight="1">
      <c r="A10" s="2" t="s">
        <v>668</v>
      </c>
      <c r="B10" s="14" t="s">
        <v>925</v>
      </c>
      <c r="C10" s="2" t="s">
        <v>200</v>
      </c>
      <c r="D10" s="2" t="s">
        <v>669</v>
      </c>
      <c r="E10" s="30">
        <v>43</v>
      </c>
      <c r="F10" s="30">
        <v>10000</v>
      </c>
      <c r="G10" s="30">
        <v>700</v>
      </c>
      <c r="H10" s="30">
        <v>8000</v>
      </c>
      <c r="I10" s="23"/>
    </row>
    <row r="11" spans="1:10" s="30" customFormat="1" ht="30.6" customHeight="1">
      <c r="A11" s="12" t="s">
        <v>1254</v>
      </c>
      <c r="B11" s="14" t="s">
        <v>925</v>
      </c>
      <c r="C11" s="2" t="s">
        <v>59</v>
      </c>
      <c r="D11" s="12" t="s">
        <v>3716</v>
      </c>
      <c r="E11" s="28" t="s">
        <v>929</v>
      </c>
      <c r="F11" s="32">
        <v>2000</v>
      </c>
      <c r="G11" s="28">
        <v>170</v>
      </c>
      <c r="H11" s="32">
        <v>6500</v>
      </c>
      <c r="I11" s="17" t="s">
        <v>210</v>
      </c>
    </row>
  </sheetData>
  <phoneticPr fontId="3" type="noConversion"/>
  <hyperlinks>
    <hyperlink ref="B1" r:id="rId1" display="https://map.naver.com/v5/search/%EA%B4%91%EC%A7%84%EA%B5%AC %EC%A4%91%EA%B3%A1%EB%8F%99 31-1" xr:uid="{59833CE0-D8A4-4A7D-A611-63FA93CACA4F}"/>
    <hyperlink ref="B2" r:id="rId2" display="https://map.naver.com/p/search/%EC%84%9C%EC%9A%B8 %EA%B4%91%EC%A7%84%EA%B5%AC %EC%9E%90%EC%96%91%EB%8F%99 794%22,%22%EC%A7%80%EB%8F%84" xr:uid="{98BC3308-4C92-4F1C-ADDC-FAB904D6271D}"/>
    <hyperlink ref="B3" r:id="rId3" display="https://map.naver.com/v5/search/%EA%B4%91%EC%A7%84%EA%B5%AC %EC%A4%91%EA%B3%A1%EB%8F%99 31-1" xr:uid="{CD40CA48-5B3E-48B1-B868-F4A91319C0DC}"/>
    <hyperlink ref="B4" r:id="rId4" display="https://map.naver.com/v5/search/%EA%B4%91%EC%A7%84%EA%B5%AC %EC%9E%90%EC%96%91%EB%8F%99 250-10" xr:uid="{1EE72AB4-DE9B-4DE2-AC0C-9710B88A192A}"/>
    <hyperlink ref="B6" r:id="rId5" display="https://map.kakao.com/?q=%EC%84%9C%EC%9A%B8%20%EA%B4%91%EC%A7%84%EA%B5%AC%20%EA%B4%91%EC%9E%A5%EB%8F%99%20331-3" xr:uid="{D7273774-3951-4D89-AB36-280634424AF2}"/>
    <hyperlink ref="B7" r:id="rId6" display="https://map.kakao.com/?q=%EC%84%9C%EC%9A%B8%20%EA%B4%91%EC%A7%84%EA%B5%AC%20%EA%B4%91%EC%9E%A5%EB%8F%99%20326-13" xr:uid="{3DE7A02E-0A27-41A5-ACF8-A3A269C1C3BB}"/>
    <hyperlink ref="B8" r:id="rId7" display="https://map.kakao.com/?q=%EC%84%9C%EC%9A%B8%20%EA%B4%91%EC%A7%84%EA%B5%AC%20%EA%B4%91%EC%9E%A5%EB%8F%99%20331-3" xr:uid="{A7D47C66-4441-4295-AA32-673457C107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11월27일</vt:lpstr>
      <vt:lpstr>26년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eldorado</dc:creator>
  <cp:lastModifiedBy>완태 심</cp:lastModifiedBy>
  <dcterms:created xsi:type="dcterms:W3CDTF">2025-11-26T23:52:57Z</dcterms:created>
  <dcterms:modified xsi:type="dcterms:W3CDTF">2026-05-26T01:54:21Z</dcterms:modified>
</cp:coreProperties>
</file>